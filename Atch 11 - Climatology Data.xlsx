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31095590C\Desktop\"/>
    </mc:Choice>
  </mc:AlternateContent>
  <xr:revisionPtr revIDLastSave="0" documentId="8_{796C935D-4989-4A10-BAEC-80342E9EE43C}" xr6:coauthVersionLast="47" xr6:coauthVersionMax="47" xr10:uidLastSave="{00000000-0000-0000-0000-000000000000}"/>
  <bookViews>
    <workbookView xWindow="5610" yWindow="540" windowWidth="18855" windowHeight="14955" activeTab="11" xr2:uid="{338AF401-4072-4EA7-AA48-BC9557841785}"/>
  </bookViews>
  <sheets>
    <sheet name="Jan" sheetId="1" r:id="rId1"/>
    <sheet name="Feb " sheetId="2" r:id="rId2"/>
    <sheet name="Mar" sheetId="3" r:id="rId3"/>
    <sheet name="Apr " sheetId="4" r:id="rId4"/>
    <sheet name="May" sheetId="7" r:id="rId5"/>
    <sheet name="Jun " sheetId="13" r:id="rId6"/>
    <sheet name="Jul " sheetId="12" r:id="rId7"/>
    <sheet name="Aug" sheetId="11" r:id="rId8"/>
    <sheet name="Sep" sheetId="10" r:id="rId9"/>
    <sheet name="Oct " sheetId="9" r:id="rId10"/>
    <sheet name="Nov" sheetId="8" r:id="rId11"/>
    <sheet name="Dec" sheetId="6" r:id="rId12"/>
    <sheet name="Year 2025" sheetId="5" r:id="rId13"/>
  </sheets>
  <definedNames>
    <definedName name="_xlnm.Print_Area" localSheetId="3">'Apr '!$A$1:$J$48</definedName>
    <definedName name="_xlnm.Print_Area" localSheetId="7">Aug!$A$1:$J$51</definedName>
    <definedName name="_xlnm.Print_Area" localSheetId="1">'Feb '!$A$1:$J$50</definedName>
    <definedName name="_xlnm.Print_Area" localSheetId="0">Jan!$A$1:$K$52</definedName>
    <definedName name="_xlnm.Print_Area" localSheetId="6">'Jul '!$A$1:$J$51</definedName>
    <definedName name="_xlnm.Print_Area" localSheetId="5">'Jun '!$A$1:$J$48</definedName>
    <definedName name="_xlnm.Print_Area" localSheetId="2">Mar!$A$1:$J$50</definedName>
    <definedName name="_xlnm.Print_Area" localSheetId="4">May!$A$1:$J$49</definedName>
    <definedName name="_xlnm.Print_Area" localSheetId="10">Nov!$A$1:$J$48</definedName>
    <definedName name="_xlnm.Print_Area" localSheetId="9">'Oct '!$A$1:$J$50</definedName>
    <definedName name="_xlnm.Print_Area" localSheetId="8">Sep!$A$1:$J$49</definedName>
    <definedName name="_xlnm.Print_Area" localSheetId="12">'Year 2025'!$A$1:$O$45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1" l="1"/>
  <c r="F12" i="11"/>
  <c r="M20" i="5"/>
  <c r="M16" i="5"/>
  <c r="M34" i="5"/>
  <c r="M32" i="5"/>
  <c r="M24" i="5"/>
  <c r="M22" i="5"/>
  <c r="M30" i="5"/>
  <c r="D37" i="4"/>
  <c r="F37" i="4"/>
  <c r="D39" i="2"/>
  <c r="D37" i="2"/>
  <c r="F37" i="2"/>
  <c r="D36" i="2"/>
  <c r="M36" i="2"/>
  <c r="D35" i="2"/>
  <c r="M35" i="2"/>
  <c r="E35" i="2"/>
  <c r="D34" i="2"/>
  <c r="M34" i="2"/>
  <c r="E34" i="2"/>
  <c r="D38" i="2"/>
  <c r="F38" i="2"/>
  <c r="J44" i="8"/>
  <c r="I45" i="3"/>
  <c r="B45" i="3"/>
  <c r="C45" i="3"/>
  <c r="E18" i="5"/>
  <c r="B44" i="3"/>
  <c r="D44" i="3"/>
  <c r="C44" i="3"/>
  <c r="F18" i="5"/>
  <c r="D12" i="3"/>
  <c r="D13" i="3"/>
  <c r="F13" i="3"/>
  <c r="D14" i="3"/>
  <c r="F14" i="3"/>
  <c r="D15" i="3"/>
  <c r="F15" i="3"/>
  <c r="D16" i="3"/>
  <c r="F16" i="3"/>
  <c r="D17" i="3"/>
  <c r="F17" i="3"/>
  <c r="D18" i="3"/>
  <c r="F18" i="3"/>
  <c r="D20" i="3"/>
  <c r="F20" i="3"/>
  <c r="D21" i="3"/>
  <c r="F21" i="3"/>
  <c r="D22" i="3"/>
  <c r="F22" i="3"/>
  <c r="D23" i="3"/>
  <c r="F23" i="3"/>
  <c r="D19" i="3"/>
  <c r="F19" i="3"/>
  <c r="D26" i="3"/>
  <c r="E26" i="3"/>
  <c r="D25" i="3"/>
  <c r="E25" i="3"/>
  <c r="D24" i="3"/>
  <c r="E24" i="3"/>
  <c r="D27" i="3"/>
  <c r="F27" i="3"/>
  <c r="D28" i="3"/>
  <c r="M28" i="3"/>
  <c r="D29" i="3"/>
  <c r="M29" i="3"/>
  <c r="D30" i="3"/>
  <c r="M30" i="3"/>
  <c r="D31" i="3"/>
  <c r="M31" i="3"/>
  <c r="D32" i="3"/>
  <c r="M32" i="3"/>
  <c r="D33" i="3"/>
  <c r="F33" i="3"/>
  <c r="D34" i="3"/>
  <c r="F34" i="3"/>
  <c r="D35" i="3"/>
  <c r="D36" i="3"/>
  <c r="F36" i="3"/>
  <c r="D37" i="3"/>
  <c r="D38" i="3"/>
  <c r="F38" i="3"/>
  <c r="D39" i="3"/>
  <c r="F39" i="3"/>
  <c r="D40" i="3"/>
  <c r="D41" i="3"/>
  <c r="M41" i="3"/>
  <c r="D42" i="3"/>
  <c r="D43" i="3"/>
  <c r="M43" i="3"/>
  <c r="M17" i="3"/>
  <c r="E17" i="3"/>
  <c r="M18" i="3"/>
  <c r="M19" i="3"/>
  <c r="M40" i="3"/>
  <c r="I44" i="3"/>
  <c r="L18" i="5"/>
  <c r="D25" i="9"/>
  <c r="D26" i="9"/>
  <c r="M26" i="9"/>
  <c r="E26" i="9"/>
  <c r="G55" i="1"/>
  <c r="H55" i="1"/>
  <c r="H54" i="2"/>
  <c r="G54" i="2"/>
  <c r="G43" i="1"/>
  <c r="G47" i="1"/>
  <c r="D11" i="2"/>
  <c r="D12" i="2"/>
  <c r="D13" i="2"/>
  <c r="F13" i="2"/>
  <c r="D14" i="2"/>
  <c r="M14" i="2"/>
  <c r="E14" i="2"/>
  <c r="D15" i="2"/>
  <c r="F15" i="2"/>
  <c r="D16" i="2"/>
  <c r="F16" i="2"/>
  <c r="D17" i="2"/>
  <c r="F17" i="2"/>
  <c r="D18" i="2"/>
  <c r="F18" i="2"/>
  <c r="D19" i="2"/>
  <c r="F19" i="2"/>
  <c r="D20" i="2"/>
  <c r="M20" i="2"/>
  <c r="D21" i="2"/>
  <c r="F21" i="2"/>
  <c r="D22" i="2"/>
  <c r="M22" i="2"/>
  <c r="D23" i="2"/>
  <c r="D24" i="2"/>
  <c r="M24" i="2"/>
  <c r="D25" i="2"/>
  <c r="D26" i="2"/>
  <c r="F26" i="2"/>
  <c r="D27" i="2"/>
  <c r="F27" i="2"/>
  <c r="D28" i="2"/>
  <c r="D29" i="2"/>
  <c r="M29" i="2"/>
  <c r="D30" i="2"/>
  <c r="D31" i="2"/>
  <c r="F31" i="2"/>
  <c r="D32" i="2"/>
  <c r="M32" i="2"/>
  <c r="D33" i="2"/>
  <c r="M33" i="2"/>
  <c r="E33" i="2"/>
  <c r="D40" i="2"/>
  <c r="M40" i="2"/>
  <c r="H41" i="2"/>
  <c r="H42" i="2"/>
  <c r="I44" i="11"/>
  <c r="L28" i="5"/>
  <c r="G43" i="11"/>
  <c r="G47" i="11"/>
  <c r="D18" i="11"/>
  <c r="F18" i="11"/>
  <c r="C44" i="11"/>
  <c r="C45" i="11"/>
  <c r="B45" i="11"/>
  <c r="B44" i="11"/>
  <c r="I44" i="12"/>
  <c r="L26" i="5"/>
  <c r="G43" i="12"/>
  <c r="I26" i="5"/>
  <c r="D36" i="12"/>
  <c r="F36" i="12"/>
  <c r="D37" i="12"/>
  <c r="F37" i="12"/>
  <c r="D38" i="12"/>
  <c r="M38" i="12"/>
  <c r="D39" i="12"/>
  <c r="M39" i="12"/>
  <c r="D40" i="12"/>
  <c r="M40" i="12"/>
  <c r="D41" i="12"/>
  <c r="F41" i="12"/>
  <c r="D42" i="12"/>
  <c r="D43" i="12"/>
  <c r="M43" i="12"/>
  <c r="D12" i="12"/>
  <c r="F12" i="12"/>
  <c r="D13" i="12"/>
  <c r="D14" i="12"/>
  <c r="M14" i="12"/>
  <c r="F14" i="12"/>
  <c r="D15" i="12"/>
  <c r="M15" i="12"/>
  <c r="D16" i="12"/>
  <c r="M16" i="12"/>
  <c r="F16" i="12"/>
  <c r="D17" i="12"/>
  <c r="M17" i="12"/>
  <c r="F17" i="12"/>
  <c r="D18" i="12"/>
  <c r="M18" i="12"/>
  <c r="F18" i="12"/>
  <c r="D19" i="12"/>
  <c r="M19" i="12"/>
  <c r="F19" i="12"/>
  <c r="D20" i="12"/>
  <c r="M20" i="12"/>
  <c r="D21" i="12"/>
  <c r="F21" i="12"/>
  <c r="D22" i="12"/>
  <c r="F22" i="12"/>
  <c r="D23" i="12"/>
  <c r="F23" i="12"/>
  <c r="D24" i="12"/>
  <c r="F24" i="12"/>
  <c r="D25" i="12"/>
  <c r="F25" i="12"/>
  <c r="D26" i="12"/>
  <c r="M26" i="12"/>
  <c r="F26" i="12"/>
  <c r="D27" i="12"/>
  <c r="F27" i="12"/>
  <c r="D28" i="12"/>
  <c r="D29" i="12"/>
  <c r="F29" i="12"/>
  <c r="D30" i="12"/>
  <c r="M30" i="12"/>
  <c r="D31" i="12"/>
  <c r="M31" i="12"/>
  <c r="D32" i="12"/>
  <c r="F32" i="12"/>
  <c r="D33" i="12"/>
  <c r="M33" i="12"/>
  <c r="E33" i="12"/>
  <c r="D34" i="12"/>
  <c r="F34" i="12"/>
  <c r="D35" i="12"/>
  <c r="F35" i="12"/>
  <c r="B44" i="12"/>
  <c r="B26" i="5"/>
  <c r="C44" i="12"/>
  <c r="F26" i="5"/>
  <c r="B45" i="12"/>
  <c r="C45" i="12"/>
  <c r="E26" i="5"/>
  <c r="J44" i="7"/>
  <c r="I43" i="7"/>
  <c r="L22" i="5"/>
  <c r="G43" i="7"/>
  <c r="J22" i="5"/>
  <c r="G42" i="7"/>
  <c r="G46" i="7"/>
  <c r="I22" i="5"/>
  <c r="D27" i="7"/>
  <c r="F27" i="7"/>
  <c r="D28" i="7"/>
  <c r="F28" i="7"/>
  <c r="D29" i="7"/>
  <c r="E29" i="7"/>
  <c r="F29" i="7"/>
  <c r="D30" i="7"/>
  <c r="F30" i="7"/>
  <c r="D31" i="7"/>
  <c r="M31" i="7"/>
  <c r="E31" i="7"/>
  <c r="F31" i="7"/>
  <c r="D32" i="7"/>
  <c r="M32" i="7"/>
  <c r="F32" i="7"/>
  <c r="D33" i="7"/>
  <c r="M33" i="7"/>
  <c r="F33" i="7"/>
  <c r="D34" i="7"/>
  <c r="F34" i="7"/>
  <c r="D35" i="7"/>
  <c r="E35" i="7"/>
  <c r="F35" i="7"/>
  <c r="D36" i="7"/>
  <c r="M36" i="7"/>
  <c r="D37" i="7"/>
  <c r="D38" i="7"/>
  <c r="M38" i="7"/>
  <c r="D39" i="7"/>
  <c r="F39" i="7"/>
  <c r="D40" i="7"/>
  <c r="M40" i="7"/>
  <c r="D41" i="7"/>
  <c r="M41" i="7"/>
  <c r="F41" i="7"/>
  <c r="D11" i="7"/>
  <c r="F11" i="7"/>
  <c r="D12" i="7"/>
  <c r="F12" i="7"/>
  <c r="D13" i="7"/>
  <c r="F13" i="7"/>
  <c r="D14" i="7"/>
  <c r="F14" i="7"/>
  <c r="D15" i="7"/>
  <c r="M15" i="7"/>
  <c r="E15" i="7"/>
  <c r="D16" i="7"/>
  <c r="D17" i="7"/>
  <c r="F17" i="7"/>
  <c r="D18" i="7"/>
  <c r="F18" i="7"/>
  <c r="D19" i="7"/>
  <c r="F19" i="7"/>
  <c r="D20" i="7"/>
  <c r="M20" i="7"/>
  <c r="E20" i="7"/>
  <c r="D21" i="7"/>
  <c r="D22" i="7"/>
  <c r="M22" i="7"/>
  <c r="F22" i="7"/>
  <c r="D23" i="7"/>
  <c r="M23" i="7"/>
  <c r="D24" i="7"/>
  <c r="M24" i="7"/>
  <c r="E24" i="7"/>
  <c r="D25" i="7"/>
  <c r="F25" i="7"/>
  <c r="D26" i="7"/>
  <c r="F26" i="7"/>
  <c r="M29" i="7"/>
  <c r="M30" i="7"/>
  <c r="M12" i="7"/>
  <c r="E12" i="7"/>
  <c r="C43" i="7"/>
  <c r="F22" i="5"/>
  <c r="C44" i="7"/>
  <c r="D44" i="7"/>
  <c r="D22" i="5"/>
  <c r="B44" i="7"/>
  <c r="C22" i="5"/>
  <c r="B43" i="7"/>
  <c r="J24" i="5"/>
  <c r="J26" i="5"/>
  <c r="J28" i="5"/>
  <c r="J30" i="5"/>
  <c r="J14" i="5"/>
  <c r="J16" i="5"/>
  <c r="J18" i="5"/>
  <c r="J20" i="5"/>
  <c r="J32" i="5"/>
  <c r="J34" i="5"/>
  <c r="J36" i="5"/>
  <c r="J41" i="5"/>
  <c r="H53" i="4"/>
  <c r="G42" i="4"/>
  <c r="G46" i="4"/>
  <c r="G53" i="4"/>
  <c r="J53" i="4"/>
  <c r="I53" i="4"/>
  <c r="F53" i="4"/>
  <c r="E53" i="4"/>
  <c r="B44" i="4"/>
  <c r="C44" i="4"/>
  <c r="D53" i="4"/>
  <c r="C53" i="4"/>
  <c r="B53" i="4"/>
  <c r="D13" i="4"/>
  <c r="G43" i="4"/>
  <c r="D14" i="4"/>
  <c r="M14" i="4"/>
  <c r="D15" i="4"/>
  <c r="F15" i="4"/>
  <c r="D16" i="4"/>
  <c r="F16" i="4"/>
  <c r="D17" i="4"/>
  <c r="F17" i="4"/>
  <c r="D18" i="4"/>
  <c r="M18" i="4"/>
  <c r="E18" i="4"/>
  <c r="D19" i="4"/>
  <c r="D20" i="4"/>
  <c r="D21" i="4"/>
  <c r="F21" i="4"/>
  <c r="D22" i="4"/>
  <c r="E22" i="4"/>
  <c r="D23" i="4"/>
  <c r="M23" i="4"/>
  <c r="E23" i="4"/>
  <c r="D24" i="4"/>
  <c r="M24" i="4"/>
  <c r="E24" i="4"/>
  <c r="D25" i="4"/>
  <c r="D26" i="4"/>
  <c r="F26" i="4"/>
  <c r="D27" i="4"/>
  <c r="F27" i="4"/>
  <c r="D28" i="4"/>
  <c r="M28" i="4"/>
  <c r="D29" i="4"/>
  <c r="F29" i="4"/>
  <c r="D30" i="4"/>
  <c r="D31" i="4"/>
  <c r="M31" i="4"/>
  <c r="D32" i="4"/>
  <c r="M32" i="4"/>
  <c r="E32" i="4"/>
  <c r="D33" i="4"/>
  <c r="M33" i="4"/>
  <c r="E33" i="4"/>
  <c r="D34" i="4"/>
  <c r="F34" i="4"/>
  <c r="D35" i="4"/>
  <c r="F35" i="4"/>
  <c r="D36" i="4"/>
  <c r="E36" i="4"/>
  <c r="D38" i="4"/>
  <c r="D39" i="4"/>
  <c r="F39" i="4"/>
  <c r="D40" i="4"/>
  <c r="D41" i="4"/>
  <c r="E41" i="4"/>
  <c r="M41" i="4"/>
  <c r="M20" i="4"/>
  <c r="E20" i="4"/>
  <c r="M37" i="4"/>
  <c r="E37" i="4"/>
  <c r="D45" i="4"/>
  <c r="J44" i="4"/>
  <c r="I44" i="4"/>
  <c r="H44" i="4"/>
  <c r="G44" i="4"/>
  <c r="I43" i="4"/>
  <c r="L20" i="5"/>
  <c r="B43" i="4"/>
  <c r="B20" i="5"/>
  <c r="C43" i="4"/>
  <c r="F20" i="5"/>
  <c r="D12" i="4"/>
  <c r="F12" i="4"/>
  <c r="E12" i="4"/>
  <c r="J55" i="11"/>
  <c r="I55" i="11"/>
  <c r="H55" i="11"/>
  <c r="G55" i="11"/>
  <c r="F55" i="11"/>
  <c r="E55" i="11"/>
  <c r="C55" i="11"/>
  <c r="B55" i="11"/>
  <c r="J45" i="11"/>
  <c r="D13" i="11"/>
  <c r="D14" i="11"/>
  <c r="F14" i="11"/>
  <c r="D15" i="11"/>
  <c r="F15" i="11"/>
  <c r="D16" i="11"/>
  <c r="M16" i="11"/>
  <c r="D17" i="11"/>
  <c r="F17" i="11"/>
  <c r="D19" i="11"/>
  <c r="F19" i="11"/>
  <c r="D20" i="11"/>
  <c r="F20" i="11"/>
  <c r="D21" i="11"/>
  <c r="F21" i="11"/>
  <c r="D22" i="11"/>
  <c r="F22" i="11"/>
  <c r="D23" i="11"/>
  <c r="F23" i="11"/>
  <c r="D24" i="11"/>
  <c r="F24" i="11"/>
  <c r="D25" i="11"/>
  <c r="F25" i="11"/>
  <c r="D26" i="11"/>
  <c r="F26" i="11"/>
  <c r="D27" i="11"/>
  <c r="F27" i="11"/>
  <c r="D28" i="11"/>
  <c r="F28" i="11"/>
  <c r="D29" i="11"/>
  <c r="F29" i="11"/>
  <c r="D30" i="11"/>
  <c r="M30" i="11"/>
  <c r="E30" i="11"/>
  <c r="D31" i="11"/>
  <c r="D32" i="11"/>
  <c r="M32" i="11"/>
  <c r="D33" i="11"/>
  <c r="M33" i="11"/>
  <c r="D34" i="11"/>
  <c r="M34" i="11"/>
  <c r="D35" i="11"/>
  <c r="F35" i="11"/>
  <c r="D36" i="11"/>
  <c r="F36" i="11"/>
  <c r="D37" i="11"/>
  <c r="F37" i="11"/>
  <c r="D38" i="11"/>
  <c r="F38" i="11"/>
  <c r="D39" i="11"/>
  <c r="F39" i="11"/>
  <c r="D40" i="11"/>
  <c r="F40" i="11"/>
  <c r="D41" i="11"/>
  <c r="F41" i="11"/>
  <c r="D42" i="11"/>
  <c r="F42" i="11"/>
  <c r="M20" i="11"/>
  <c r="E20" i="11"/>
  <c r="M21" i="11"/>
  <c r="E21" i="11"/>
  <c r="M23" i="11"/>
  <c r="M36" i="11"/>
  <c r="E36" i="11"/>
  <c r="I45" i="11"/>
  <c r="H45" i="11"/>
  <c r="G45" i="11"/>
  <c r="H44" i="11"/>
  <c r="G44" i="11"/>
  <c r="H43" i="11"/>
  <c r="M12" i="11"/>
  <c r="E12" i="11"/>
  <c r="J54" i="6"/>
  <c r="G54" i="6"/>
  <c r="H54" i="6"/>
  <c r="I54" i="6"/>
  <c r="E54" i="6"/>
  <c r="C45" i="6"/>
  <c r="E36" i="5"/>
  <c r="B45" i="6"/>
  <c r="C54" i="6"/>
  <c r="B54" i="6"/>
  <c r="F54" i="6"/>
  <c r="D12" i="6"/>
  <c r="D13" i="6"/>
  <c r="D14" i="6"/>
  <c r="F14" i="6"/>
  <c r="D15" i="6"/>
  <c r="M15" i="6"/>
  <c r="D16" i="6"/>
  <c r="D17" i="6"/>
  <c r="M17" i="6"/>
  <c r="D18" i="6"/>
  <c r="M18" i="6"/>
  <c r="D19" i="6"/>
  <c r="F19" i="6"/>
  <c r="D20" i="6"/>
  <c r="F20" i="6"/>
  <c r="D21" i="6"/>
  <c r="F21" i="6"/>
  <c r="M21" i="6"/>
  <c r="E21" i="6"/>
  <c r="D22" i="6"/>
  <c r="M22" i="6"/>
  <c r="D23" i="6"/>
  <c r="F23" i="6"/>
  <c r="D24" i="6"/>
  <c r="E24" i="6"/>
  <c r="D25" i="6"/>
  <c r="M25" i="6"/>
  <c r="D26" i="6"/>
  <c r="F26" i="6"/>
  <c r="D27" i="6"/>
  <c r="M27" i="6"/>
  <c r="E27" i="6"/>
  <c r="D28" i="6"/>
  <c r="M28" i="6"/>
  <c r="E28" i="6"/>
  <c r="D29" i="6"/>
  <c r="M29" i="6"/>
  <c r="J45" i="6"/>
  <c r="B44" i="6"/>
  <c r="G43" i="6"/>
  <c r="G47" i="6"/>
  <c r="I36" i="5"/>
  <c r="D30" i="6"/>
  <c r="M30" i="6"/>
  <c r="D31" i="6"/>
  <c r="M31" i="6"/>
  <c r="D32" i="6"/>
  <c r="M32" i="6"/>
  <c r="E32" i="6"/>
  <c r="D33" i="6"/>
  <c r="M33" i="6"/>
  <c r="D34" i="6"/>
  <c r="M34" i="6"/>
  <c r="E34" i="6"/>
  <c r="D35" i="6"/>
  <c r="M35" i="6"/>
  <c r="D36" i="6"/>
  <c r="E36" i="6"/>
  <c r="D37" i="6"/>
  <c r="M37" i="6"/>
  <c r="F37" i="6"/>
  <c r="D38" i="6"/>
  <c r="M38" i="6"/>
  <c r="E38" i="6"/>
  <c r="D39" i="6"/>
  <c r="F39" i="6"/>
  <c r="D40" i="6"/>
  <c r="F40" i="6"/>
  <c r="D41" i="6"/>
  <c r="D42" i="6"/>
  <c r="M39" i="6"/>
  <c r="E39" i="6"/>
  <c r="M40" i="6"/>
  <c r="E40" i="6"/>
  <c r="M41" i="6"/>
  <c r="M42" i="6"/>
  <c r="I45" i="6"/>
  <c r="H45" i="6"/>
  <c r="G45" i="6"/>
  <c r="I44" i="6"/>
  <c r="L36" i="5"/>
  <c r="L41" i="5"/>
  <c r="H44" i="6"/>
  <c r="G44" i="6"/>
  <c r="C44" i="6"/>
  <c r="H43" i="6"/>
  <c r="K36" i="5"/>
  <c r="I54" i="2"/>
  <c r="J54" i="2"/>
  <c r="F54" i="2"/>
  <c r="E54" i="2"/>
  <c r="B43" i="2"/>
  <c r="C43" i="2"/>
  <c r="E16" i="5"/>
  <c r="C54" i="2"/>
  <c r="B54" i="2"/>
  <c r="G45" i="2"/>
  <c r="G41" i="2"/>
  <c r="I16" i="5"/>
  <c r="F23" i="2"/>
  <c r="F25" i="2"/>
  <c r="F35" i="2"/>
  <c r="G42" i="2"/>
  <c r="J43" i="2"/>
  <c r="I43" i="2"/>
  <c r="G43" i="2"/>
  <c r="H43" i="2"/>
  <c r="I42" i="2"/>
  <c r="L16" i="5"/>
  <c r="B42" i="2"/>
  <c r="B16" i="5"/>
  <c r="C42" i="2"/>
  <c r="F16" i="5"/>
  <c r="G44" i="1"/>
  <c r="G45" i="1"/>
  <c r="F55" i="1"/>
  <c r="I55" i="1"/>
  <c r="J55" i="1"/>
  <c r="E55" i="1"/>
  <c r="D42" i="1"/>
  <c r="D12" i="1"/>
  <c r="F12" i="1"/>
  <c r="D13" i="1"/>
  <c r="M13" i="1"/>
  <c r="D14" i="1"/>
  <c r="D15" i="1"/>
  <c r="F15" i="1"/>
  <c r="D16" i="1"/>
  <c r="M16" i="1"/>
  <c r="D17" i="1"/>
  <c r="F17" i="1"/>
  <c r="D18" i="1"/>
  <c r="F18" i="1"/>
  <c r="D19" i="1"/>
  <c r="M19" i="1"/>
  <c r="D20" i="1"/>
  <c r="D21" i="1"/>
  <c r="M21" i="1"/>
  <c r="F21" i="1"/>
  <c r="D22" i="1"/>
  <c r="M22" i="1"/>
  <c r="E22" i="1"/>
  <c r="D23" i="1"/>
  <c r="M23" i="1"/>
  <c r="E23" i="1"/>
  <c r="D24" i="1"/>
  <c r="F24" i="1"/>
  <c r="D25" i="1"/>
  <c r="M25" i="1"/>
  <c r="D26" i="1"/>
  <c r="F26" i="1"/>
  <c r="D27" i="1"/>
  <c r="F27" i="1"/>
  <c r="D28" i="1"/>
  <c r="M28" i="1"/>
  <c r="F28" i="1"/>
  <c r="D29" i="1"/>
  <c r="M29" i="1"/>
  <c r="D30" i="1"/>
  <c r="F30" i="1"/>
  <c r="D31" i="1"/>
  <c r="M31" i="1"/>
  <c r="D32" i="1"/>
  <c r="M32" i="1"/>
  <c r="D33" i="1"/>
  <c r="M33" i="1"/>
  <c r="D34" i="1"/>
  <c r="M34" i="1"/>
  <c r="E34" i="1"/>
  <c r="D35" i="1"/>
  <c r="M35" i="1"/>
  <c r="E35" i="1"/>
  <c r="D36" i="1"/>
  <c r="F36" i="1"/>
  <c r="D37" i="1"/>
  <c r="F37" i="1"/>
  <c r="D38" i="1"/>
  <c r="F38" i="1"/>
  <c r="D39" i="1"/>
  <c r="M39" i="1"/>
  <c r="D40" i="1"/>
  <c r="D41" i="1"/>
  <c r="F41" i="1"/>
  <c r="B55" i="1"/>
  <c r="O43" i="1"/>
  <c r="J45" i="1"/>
  <c r="I45" i="1"/>
  <c r="C45" i="1"/>
  <c r="E14" i="5"/>
  <c r="B45" i="1"/>
  <c r="C14" i="5"/>
  <c r="F22" i="1"/>
  <c r="F25" i="1"/>
  <c r="F40" i="1"/>
  <c r="F42" i="1"/>
  <c r="M15" i="1"/>
  <c r="E15" i="1"/>
  <c r="M37" i="1"/>
  <c r="M40" i="1"/>
  <c r="E40" i="1"/>
  <c r="H45" i="1"/>
  <c r="I44" i="1"/>
  <c r="L14" i="5"/>
  <c r="H44" i="1"/>
  <c r="B44" i="1"/>
  <c r="B14" i="5"/>
  <c r="C44" i="1"/>
  <c r="F14" i="5"/>
  <c r="H43" i="1"/>
  <c r="M12" i="1"/>
  <c r="E12" i="1"/>
  <c r="F56" i="12"/>
  <c r="J56" i="12"/>
  <c r="I56" i="12"/>
  <c r="H56" i="12"/>
  <c r="G56" i="12"/>
  <c r="E56" i="12"/>
  <c r="C56" i="12"/>
  <c r="B56" i="12"/>
  <c r="G44" i="12"/>
  <c r="J45" i="12"/>
  <c r="M23" i="12"/>
  <c r="E23" i="12"/>
  <c r="M24" i="12"/>
  <c r="E24" i="12"/>
  <c r="M25" i="12"/>
  <c r="E25" i="12"/>
  <c r="M37" i="12"/>
  <c r="E37" i="12"/>
  <c r="M41" i="12"/>
  <c r="E41" i="12"/>
  <c r="M42" i="12"/>
  <c r="E42" i="12"/>
  <c r="I45" i="12"/>
  <c r="H45" i="12"/>
  <c r="G45" i="12"/>
  <c r="H44" i="12"/>
  <c r="H43" i="12"/>
  <c r="J53" i="13"/>
  <c r="I53" i="13"/>
  <c r="H53" i="13"/>
  <c r="G53" i="13"/>
  <c r="F53" i="13"/>
  <c r="E53" i="13"/>
  <c r="B44" i="13"/>
  <c r="C44" i="13"/>
  <c r="E24" i="5"/>
  <c r="C53" i="13"/>
  <c r="B53" i="13"/>
  <c r="G42" i="13"/>
  <c r="G46" i="13"/>
  <c r="D13" i="13"/>
  <c r="E13" i="13"/>
  <c r="F13" i="13"/>
  <c r="D14" i="13"/>
  <c r="F14" i="13"/>
  <c r="D15" i="13"/>
  <c r="M15" i="13"/>
  <c r="E15" i="13"/>
  <c r="D16" i="13"/>
  <c r="F16" i="13"/>
  <c r="D17" i="13"/>
  <c r="M17" i="13"/>
  <c r="D18" i="13"/>
  <c r="M18" i="13"/>
  <c r="F18" i="13"/>
  <c r="D19" i="13"/>
  <c r="F19" i="13"/>
  <c r="D20" i="13"/>
  <c r="M20" i="13"/>
  <c r="F20" i="13"/>
  <c r="D21" i="13"/>
  <c r="M21" i="13"/>
  <c r="D22" i="13"/>
  <c r="D23" i="13"/>
  <c r="M23" i="13"/>
  <c r="D24" i="13"/>
  <c r="F24" i="13"/>
  <c r="D25" i="13"/>
  <c r="F25" i="13"/>
  <c r="D26" i="13"/>
  <c r="M26" i="13"/>
  <c r="F26" i="13"/>
  <c r="D27" i="13"/>
  <c r="M27" i="13"/>
  <c r="D28" i="13"/>
  <c r="M28" i="13"/>
  <c r="F28" i="13"/>
  <c r="D29" i="13"/>
  <c r="M29" i="13"/>
  <c r="F29" i="13"/>
  <c r="D30" i="13"/>
  <c r="F30" i="13"/>
  <c r="D31" i="13"/>
  <c r="F31" i="13"/>
  <c r="D32" i="13"/>
  <c r="E32" i="13"/>
  <c r="F32" i="13"/>
  <c r="D33" i="13"/>
  <c r="F33" i="13"/>
  <c r="D34" i="13"/>
  <c r="F34" i="13"/>
  <c r="D35" i="13"/>
  <c r="F35" i="13"/>
  <c r="D36" i="13"/>
  <c r="F36" i="13"/>
  <c r="D37" i="13"/>
  <c r="F37" i="13"/>
  <c r="D38" i="13"/>
  <c r="D39" i="13"/>
  <c r="M39" i="13"/>
  <c r="D40" i="13"/>
  <c r="M40" i="13"/>
  <c r="D41" i="13"/>
  <c r="M41" i="13"/>
  <c r="E41" i="13"/>
  <c r="M13" i="13"/>
  <c r="E28" i="13"/>
  <c r="M33" i="13"/>
  <c r="E33" i="13"/>
  <c r="M35" i="13"/>
  <c r="E35" i="13"/>
  <c r="J44" i="13"/>
  <c r="I44" i="13"/>
  <c r="H44" i="13"/>
  <c r="G44" i="13"/>
  <c r="I43" i="13"/>
  <c r="L24" i="5"/>
  <c r="H43" i="13"/>
  <c r="G43" i="13"/>
  <c r="B43" i="13"/>
  <c r="C43" i="13"/>
  <c r="F24" i="5"/>
  <c r="D12" i="13"/>
  <c r="E12" i="13"/>
  <c r="H42" i="13"/>
  <c r="H54" i="3"/>
  <c r="J54" i="3"/>
  <c r="F54" i="3"/>
  <c r="E54" i="3"/>
  <c r="C54" i="3"/>
  <c r="B54" i="3"/>
  <c r="I54" i="3"/>
  <c r="G54" i="3"/>
  <c r="G44" i="3"/>
  <c r="G43" i="3"/>
  <c r="I18" i="5"/>
  <c r="J45" i="3"/>
  <c r="H45" i="3"/>
  <c r="G45" i="3"/>
  <c r="J53" i="7"/>
  <c r="I53" i="7"/>
  <c r="H53" i="7"/>
  <c r="G53" i="7"/>
  <c r="F53" i="7"/>
  <c r="E53" i="7"/>
  <c r="C53" i="7"/>
  <c r="B53" i="7"/>
  <c r="I44" i="7"/>
  <c r="H44" i="7"/>
  <c r="G44" i="7"/>
  <c r="H43" i="7"/>
  <c r="H42" i="7"/>
  <c r="J53" i="8"/>
  <c r="I53" i="8"/>
  <c r="H53" i="8"/>
  <c r="G53" i="8"/>
  <c r="F53" i="8"/>
  <c r="E53" i="8"/>
  <c r="B44" i="8"/>
  <c r="D44" i="8"/>
  <c r="C44" i="8"/>
  <c r="E34" i="5"/>
  <c r="C53" i="8"/>
  <c r="B53" i="8"/>
  <c r="G42" i="8"/>
  <c r="I34" i="5"/>
  <c r="G46" i="8"/>
  <c r="D13" i="8"/>
  <c r="F13" i="8"/>
  <c r="D14" i="8"/>
  <c r="D15" i="8"/>
  <c r="F15" i="8"/>
  <c r="D16" i="8"/>
  <c r="M16" i="8"/>
  <c r="D17" i="8"/>
  <c r="F17" i="8"/>
  <c r="D18" i="8"/>
  <c r="D19" i="8"/>
  <c r="M19" i="8"/>
  <c r="D20" i="8"/>
  <c r="F20" i="8"/>
  <c r="D21" i="8"/>
  <c r="F21" i="8"/>
  <c r="D22" i="8"/>
  <c r="F22" i="8"/>
  <c r="D23" i="8"/>
  <c r="F23" i="8"/>
  <c r="D24" i="8"/>
  <c r="F24" i="8"/>
  <c r="D25" i="8"/>
  <c r="F25" i="8"/>
  <c r="D26" i="8"/>
  <c r="F26" i="8"/>
  <c r="D27" i="8"/>
  <c r="D28" i="8"/>
  <c r="F28" i="8"/>
  <c r="D29" i="8"/>
  <c r="F29" i="8"/>
  <c r="D30" i="8"/>
  <c r="F30" i="8"/>
  <c r="D31" i="8"/>
  <c r="F31" i="8"/>
  <c r="D32" i="8"/>
  <c r="D33" i="8"/>
  <c r="M33" i="8"/>
  <c r="D34" i="8"/>
  <c r="F34" i="8"/>
  <c r="D35" i="8"/>
  <c r="F35" i="8"/>
  <c r="D36" i="8"/>
  <c r="F36" i="8"/>
  <c r="D37" i="8"/>
  <c r="F37" i="8"/>
  <c r="D38" i="8"/>
  <c r="F38" i="8"/>
  <c r="D39" i="8"/>
  <c r="F39" i="8"/>
  <c r="D40" i="8"/>
  <c r="F40" i="8"/>
  <c r="D41" i="8"/>
  <c r="D42" i="8"/>
  <c r="M42" i="8"/>
  <c r="I44" i="8"/>
  <c r="H44" i="8"/>
  <c r="G44" i="8"/>
  <c r="I43" i="8"/>
  <c r="L34" i="5"/>
  <c r="G43" i="8"/>
  <c r="B43" i="8"/>
  <c r="B34" i="5"/>
  <c r="C43" i="8"/>
  <c r="F34" i="5"/>
  <c r="D12" i="8"/>
  <c r="M12" i="8"/>
  <c r="E12" i="8"/>
  <c r="F12" i="8"/>
  <c r="J54" i="9"/>
  <c r="I54" i="9"/>
  <c r="H54" i="9"/>
  <c r="G54" i="9"/>
  <c r="F54" i="9"/>
  <c r="E54" i="9"/>
  <c r="B45" i="9"/>
  <c r="C32" i="5"/>
  <c r="C45" i="9"/>
  <c r="C54" i="9"/>
  <c r="B54" i="9"/>
  <c r="D41" i="9"/>
  <c r="F41" i="9"/>
  <c r="D40" i="9"/>
  <c r="F40" i="9"/>
  <c r="D39" i="9"/>
  <c r="M39" i="9"/>
  <c r="E39" i="9"/>
  <c r="D38" i="9"/>
  <c r="D37" i="9"/>
  <c r="F37" i="9"/>
  <c r="D36" i="9"/>
  <c r="F36" i="9"/>
  <c r="D35" i="9"/>
  <c r="E35" i="9"/>
  <c r="D34" i="9"/>
  <c r="M34" i="9"/>
  <c r="E34" i="9"/>
  <c r="D33" i="9"/>
  <c r="M33" i="9"/>
  <c r="E33" i="9"/>
  <c r="D32" i="9"/>
  <c r="E32" i="9"/>
  <c r="D31" i="9"/>
  <c r="M31" i="9"/>
  <c r="D30" i="9"/>
  <c r="F30" i="9"/>
  <c r="D29" i="9"/>
  <c r="D28" i="9"/>
  <c r="F28" i="9"/>
  <c r="D27" i="9"/>
  <c r="F27" i="9"/>
  <c r="D24" i="9"/>
  <c r="F24" i="9"/>
  <c r="D23" i="9"/>
  <c r="M23" i="9"/>
  <c r="E23" i="9"/>
  <c r="D22" i="9"/>
  <c r="F22" i="9"/>
  <c r="D21" i="9"/>
  <c r="M21" i="9"/>
  <c r="D20" i="9"/>
  <c r="F20" i="9"/>
  <c r="D19" i="9"/>
  <c r="M19" i="9"/>
  <c r="E19" i="9"/>
  <c r="D18" i="9"/>
  <c r="M18" i="9"/>
  <c r="F18" i="9"/>
  <c r="D17" i="9"/>
  <c r="F17" i="9"/>
  <c r="D16" i="9"/>
  <c r="F16" i="9"/>
  <c r="D15" i="9"/>
  <c r="F15" i="9"/>
  <c r="M15" i="9"/>
  <c r="E15" i="9"/>
  <c r="D14" i="9"/>
  <c r="M14" i="9"/>
  <c r="D13" i="9"/>
  <c r="F13" i="9"/>
  <c r="D12" i="9"/>
  <c r="F12" i="9"/>
  <c r="J45" i="9"/>
  <c r="G43" i="9"/>
  <c r="G47" i="9"/>
  <c r="F25" i="9"/>
  <c r="D42" i="9"/>
  <c r="F42" i="9"/>
  <c r="M32" i="9"/>
  <c r="M35" i="9"/>
  <c r="I45" i="9"/>
  <c r="H45" i="9"/>
  <c r="G45" i="9"/>
  <c r="I44" i="9"/>
  <c r="L32" i="5"/>
  <c r="H44" i="9"/>
  <c r="G44" i="9"/>
  <c r="B44" i="9"/>
  <c r="C44" i="9"/>
  <c r="F32" i="5"/>
  <c r="H43" i="9"/>
  <c r="M12" i="9"/>
  <c r="J53" i="10"/>
  <c r="I53" i="10"/>
  <c r="H53" i="10"/>
  <c r="G53" i="10"/>
  <c r="F53" i="10"/>
  <c r="E53" i="10"/>
  <c r="B44" i="10"/>
  <c r="C30" i="5"/>
  <c r="C44" i="10"/>
  <c r="E30" i="5"/>
  <c r="C53" i="10"/>
  <c r="B53" i="10"/>
  <c r="J44" i="10"/>
  <c r="G42" i="10"/>
  <c r="I30" i="5"/>
  <c r="D13" i="10"/>
  <c r="F13" i="10"/>
  <c r="D14" i="10"/>
  <c r="F14" i="10"/>
  <c r="D15" i="10"/>
  <c r="F15" i="10"/>
  <c r="D16" i="10"/>
  <c r="F16" i="10"/>
  <c r="D17" i="10"/>
  <c r="E17" i="10"/>
  <c r="D18" i="10"/>
  <c r="F18" i="10"/>
  <c r="D19" i="10"/>
  <c r="F19" i="10"/>
  <c r="D20" i="10"/>
  <c r="E20" i="10"/>
  <c r="D21" i="10"/>
  <c r="F21" i="10"/>
  <c r="D22" i="10"/>
  <c r="F22" i="10"/>
  <c r="D23" i="10"/>
  <c r="M23" i="10"/>
  <c r="E23" i="10"/>
  <c r="F23" i="10"/>
  <c r="D24" i="10"/>
  <c r="M24" i="10"/>
  <c r="E24" i="10"/>
  <c r="D25" i="10"/>
  <c r="F25" i="10"/>
  <c r="D26" i="10"/>
  <c r="E26" i="10"/>
  <c r="D27" i="10"/>
  <c r="M27" i="10"/>
  <c r="D28" i="10"/>
  <c r="E28" i="10"/>
  <c r="D29" i="10"/>
  <c r="F29" i="10"/>
  <c r="D30" i="10"/>
  <c r="M30" i="10"/>
  <c r="E30" i="10"/>
  <c r="D31" i="10"/>
  <c r="M31" i="10"/>
  <c r="D32" i="10"/>
  <c r="M32" i="10"/>
  <c r="D33" i="10"/>
  <c r="D34" i="10"/>
  <c r="F34" i="10"/>
  <c r="D35" i="10"/>
  <c r="M35" i="10"/>
  <c r="E35" i="10"/>
  <c r="D36" i="10"/>
  <c r="F36" i="10"/>
  <c r="D37" i="10"/>
  <c r="M37" i="10"/>
  <c r="E37" i="10"/>
  <c r="D38" i="10"/>
  <c r="M38" i="10"/>
  <c r="D39" i="10"/>
  <c r="F39" i="10"/>
  <c r="D40" i="10"/>
  <c r="F40" i="10"/>
  <c r="D41" i="10"/>
  <c r="D42" i="10"/>
  <c r="M42" i="10"/>
  <c r="I44" i="10"/>
  <c r="H44" i="10"/>
  <c r="G44" i="10"/>
  <c r="I43" i="10"/>
  <c r="L30" i="5"/>
  <c r="H43" i="10"/>
  <c r="G43" i="10"/>
  <c r="B43" i="10"/>
  <c r="C43" i="10"/>
  <c r="F30" i="5"/>
  <c r="D12" i="10"/>
  <c r="F12" i="10"/>
  <c r="H42" i="10"/>
  <c r="M28" i="5"/>
  <c r="M26" i="5"/>
  <c r="M18" i="5"/>
  <c r="M14" i="5"/>
  <c r="M36" i="5"/>
  <c r="M41" i="5"/>
  <c r="K22" i="5"/>
  <c r="K24" i="5"/>
  <c r="K26" i="5"/>
  <c r="K28" i="5"/>
  <c r="K32" i="5"/>
  <c r="K30" i="5"/>
  <c r="E32" i="5"/>
  <c r="F36" i="5"/>
  <c r="F40" i="5"/>
  <c r="K20" i="5"/>
  <c r="I20" i="5"/>
  <c r="K18" i="5"/>
  <c r="M11" i="7"/>
  <c r="E11" i="7"/>
  <c r="M19" i="7"/>
  <c r="M38" i="11"/>
  <c r="E38" i="11"/>
  <c r="F26" i="9"/>
  <c r="M42" i="9"/>
  <c r="E42" i="9"/>
  <c r="M24" i="8"/>
  <c r="E24" i="8"/>
  <c r="M29" i="8"/>
  <c r="E29" i="8"/>
  <c r="M25" i="8"/>
  <c r="E25" i="8"/>
  <c r="M36" i="8"/>
  <c r="E36" i="8"/>
  <c r="M37" i="8"/>
  <c r="E37" i="8"/>
  <c r="F29" i="6"/>
  <c r="F28" i="6"/>
  <c r="E12" i="9"/>
  <c r="F36" i="2"/>
  <c r="M15" i="3"/>
  <c r="E15" i="3"/>
  <c r="M20" i="3"/>
  <c r="E20" i="3"/>
  <c r="M39" i="3"/>
  <c r="E39" i="3"/>
  <c r="M21" i="4"/>
  <c r="E21" i="4"/>
  <c r="M18" i="7"/>
  <c r="E18" i="7"/>
  <c r="M26" i="7"/>
  <c r="E26" i="7"/>
  <c r="E30" i="7"/>
  <c r="M28" i="7"/>
  <c r="E28" i="7"/>
  <c r="M35" i="7"/>
  <c r="M34" i="7"/>
  <c r="E34" i="7"/>
  <c r="E38" i="7"/>
  <c r="M38" i="13"/>
  <c r="E38" i="13"/>
  <c r="M27" i="11"/>
  <c r="M26" i="11"/>
  <c r="E26" i="11"/>
  <c r="M25" i="11"/>
  <c r="E25" i="11"/>
  <c r="M24" i="11"/>
  <c r="E24" i="11"/>
  <c r="E23" i="11"/>
  <c r="M19" i="11"/>
  <c r="E19" i="11"/>
  <c r="C28" i="5"/>
  <c r="M36" i="12"/>
  <c r="E36" i="12"/>
  <c r="M37" i="11"/>
  <c r="E37" i="11"/>
  <c r="I32" i="5"/>
  <c r="M38" i="1"/>
  <c r="E38" i="1"/>
  <c r="M36" i="1"/>
  <c r="E36" i="1"/>
  <c r="M11" i="2"/>
  <c r="E11" i="2"/>
  <c r="M16" i="3"/>
  <c r="E16" i="3"/>
  <c r="M22" i="3"/>
  <c r="E22" i="3"/>
  <c r="M21" i="3"/>
  <c r="E21" i="3"/>
  <c r="M27" i="3"/>
  <c r="E27" i="3"/>
  <c r="M25" i="3"/>
  <c r="M26" i="3"/>
  <c r="M24" i="3"/>
  <c r="M23" i="3"/>
  <c r="E23" i="3"/>
  <c r="M34" i="3"/>
  <c r="E34" i="3"/>
  <c r="E40" i="3"/>
  <c r="F40" i="3"/>
  <c r="M22" i="4"/>
  <c r="M39" i="4"/>
  <c r="E39" i="4"/>
  <c r="M14" i="7"/>
  <c r="E14" i="7"/>
  <c r="M16" i="7"/>
  <c r="E16" i="7"/>
  <c r="M25" i="7"/>
  <c r="E25" i="7"/>
  <c r="M14" i="13"/>
  <c r="E34" i="13"/>
  <c r="M13" i="11"/>
  <c r="M17" i="11"/>
  <c r="E17" i="11"/>
  <c r="M22" i="11"/>
  <c r="E22" i="11"/>
  <c r="E27" i="11"/>
  <c r="M28" i="11"/>
  <c r="E28" i="11"/>
  <c r="M19" i="10"/>
  <c r="E19" i="10"/>
  <c r="E21" i="10"/>
  <c r="F19" i="9"/>
  <c r="M40" i="9"/>
  <c r="F32" i="2"/>
  <c r="F30" i="2"/>
  <c r="F24" i="2"/>
  <c r="F22" i="2"/>
  <c r="F14" i="2"/>
  <c r="F35" i="1"/>
  <c r="F38" i="4"/>
  <c r="M38" i="4"/>
  <c r="E38" i="4"/>
  <c r="F17" i="6"/>
  <c r="F41" i="4"/>
  <c r="H20" i="5"/>
  <c r="M39" i="2"/>
  <c r="E39" i="2"/>
  <c r="E17" i="2"/>
  <c r="F20" i="1"/>
  <c r="M20" i="1"/>
  <c r="E20" i="1"/>
  <c r="M20" i="10"/>
  <c r="F13" i="12"/>
  <c r="M13" i="12"/>
  <c r="E13" i="12"/>
  <c r="M15" i="8"/>
  <c r="E15" i="8"/>
  <c r="M23" i="8"/>
  <c r="E23" i="8"/>
  <c r="M13" i="3"/>
  <c r="E13" i="3"/>
  <c r="M36" i="9"/>
  <c r="E36" i="9"/>
  <c r="M41" i="9"/>
  <c r="M42" i="1"/>
  <c r="E42" i="1"/>
  <c r="F40" i="2"/>
  <c r="F37" i="3"/>
  <c r="M37" i="3"/>
  <c r="E37" i="3"/>
  <c r="E40" i="2"/>
  <c r="M27" i="8"/>
  <c r="E27" i="8"/>
  <c r="M28" i="9"/>
  <c r="E28" i="9"/>
  <c r="M22" i="8"/>
  <c r="E22" i="8"/>
  <c r="M38" i="8"/>
  <c r="E38" i="8"/>
  <c r="M30" i="8"/>
  <c r="E30" i="8"/>
  <c r="E22" i="10"/>
  <c r="E19" i="7"/>
  <c r="F14" i="1"/>
  <c r="M14" i="1"/>
  <c r="E14" i="1"/>
  <c r="F23" i="1"/>
  <c r="M24" i="6"/>
  <c r="M13" i="7"/>
  <c r="E13" i="7"/>
  <c r="F38" i="7"/>
  <c r="M30" i="2"/>
  <c r="E30" i="2"/>
  <c r="M37" i="2"/>
  <c r="E37" i="2"/>
  <c r="M25" i="9"/>
  <c r="E25" i="9"/>
  <c r="M36" i="3"/>
  <c r="E36" i="3"/>
  <c r="E18" i="3"/>
  <c r="M14" i="3"/>
  <c r="E14" i="3"/>
  <c r="E37" i="1"/>
  <c r="F34" i="1"/>
  <c r="F31" i="1"/>
  <c r="M30" i="1"/>
  <c r="E30" i="1"/>
  <c r="M26" i="1"/>
  <c r="E26" i="1"/>
  <c r="M24" i="1"/>
  <c r="E24" i="1"/>
  <c r="F19" i="1"/>
  <c r="F16" i="1"/>
  <c r="E33" i="1"/>
  <c r="F33" i="1"/>
  <c r="E32" i="1"/>
  <c r="F32" i="1"/>
  <c r="E31" i="1"/>
  <c r="F29" i="1"/>
  <c r="E29" i="1"/>
  <c r="E28" i="1"/>
  <c r="E27" i="1"/>
  <c r="M27" i="1"/>
  <c r="E25" i="1"/>
  <c r="E21" i="1"/>
  <c r="E19" i="1"/>
  <c r="M18" i="1"/>
  <c r="E18" i="1"/>
  <c r="M17" i="1"/>
  <c r="E17" i="1"/>
  <c r="E16" i="1"/>
  <c r="F13" i="1"/>
  <c r="E13" i="1"/>
  <c r="F11" i="2"/>
  <c r="I14" i="5"/>
  <c r="D44" i="1"/>
  <c r="E44" i="1"/>
  <c r="M41" i="1"/>
  <c r="E41" i="1"/>
  <c r="D55" i="1"/>
  <c r="D45" i="1"/>
  <c r="F39" i="1"/>
  <c r="D43" i="1"/>
  <c r="M43" i="1"/>
  <c r="E39" i="1"/>
  <c r="F44" i="1"/>
  <c r="F46" i="1"/>
  <c r="F43" i="1"/>
  <c r="H14" i="5"/>
  <c r="E43" i="1"/>
  <c r="E46" i="1"/>
  <c r="G14" i="5"/>
  <c r="F45" i="1"/>
  <c r="D14" i="5"/>
  <c r="M12" i="3"/>
  <c r="E12" i="3"/>
  <c r="F12" i="3"/>
  <c r="F34" i="2"/>
  <c r="F33" i="2"/>
  <c r="E31" i="2"/>
  <c r="M31" i="2"/>
  <c r="E29" i="2"/>
  <c r="F20" i="2"/>
  <c r="E18" i="2"/>
  <c r="M18" i="2"/>
  <c r="M17" i="2"/>
  <c r="D43" i="2"/>
  <c r="F43" i="2"/>
  <c r="M38" i="2"/>
  <c r="E38" i="2"/>
  <c r="E36" i="2"/>
  <c r="E32" i="2"/>
  <c r="F29" i="2"/>
  <c r="M28" i="2"/>
  <c r="E28" i="2"/>
  <c r="F28" i="2"/>
  <c r="M27" i="2"/>
  <c r="E27" i="2"/>
  <c r="M26" i="2"/>
  <c r="E26" i="2"/>
  <c r="M25" i="2"/>
  <c r="E25" i="2"/>
  <c r="E24" i="2"/>
  <c r="M23" i="2"/>
  <c r="E23" i="2"/>
  <c r="E22" i="2"/>
  <c r="E21" i="2"/>
  <c r="M21" i="2"/>
  <c r="E20" i="2"/>
  <c r="M19" i="2"/>
  <c r="E19" i="2"/>
  <c r="E16" i="2"/>
  <c r="M16" i="2"/>
  <c r="E15" i="2"/>
  <c r="M15" i="2"/>
  <c r="M13" i="2"/>
  <c r="E13" i="2"/>
  <c r="D41" i="2"/>
  <c r="M41" i="2"/>
  <c r="D54" i="2"/>
  <c r="C16" i="5"/>
  <c r="D42" i="2"/>
  <c r="F12" i="2"/>
  <c r="M12" i="2"/>
  <c r="E12" i="2"/>
  <c r="D16" i="5"/>
  <c r="E43" i="2"/>
  <c r="G16" i="5"/>
  <c r="E44" i="2"/>
  <c r="E41" i="2"/>
  <c r="F44" i="2"/>
  <c r="H16" i="5"/>
  <c r="F41" i="2"/>
  <c r="E42" i="2"/>
  <c r="F42" i="2"/>
  <c r="F31" i="3"/>
  <c r="F28" i="3"/>
  <c r="F26" i="3"/>
  <c r="F24" i="3"/>
  <c r="E19" i="3"/>
  <c r="M33" i="3"/>
  <c r="E33" i="3"/>
  <c r="F32" i="3"/>
  <c r="E32" i="3"/>
  <c r="E31" i="3"/>
  <c r="F30" i="3"/>
  <c r="E30" i="3"/>
  <c r="F29" i="3"/>
  <c r="E29" i="3"/>
  <c r="E28" i="3"/>
  <c r="F25" i="3"/>
  <c r="M38" i="3"/>
  <c r="E38" i="3"/>
  <c r="M35" i="3"/>
  <c r="E35" i="3"/>
  <c r="F35" i="3"/>
  <c r="G47" i="3"/>
  <c r="F41" i="3"/>
  <c r="C18" i="5"/>
  <c r="E41" i="3"/>
  <c r="D45" i="3"/>
  <c r="F44" i="3"/>
  <c r="E44" i="3"/>
  <c r="D18" i="5"/>
  <c r="E45" i="3"/>
  <c r="F45" i="3"/>
  <c r="B18" i="5"/>
  <c r="F42" i="3"/>
  <c r="M42" i="3"/>
  <c r="E42" i="3"/>
  <c r="D54" i="3"/>
  <c r="F46" i="3"/>
  <c r="H18" i="5"/>
  <c r="F43" i="3"/>
  <c r="G18" i="5"/>
  <c r="E43" i="3"/>
  <c r="E46" i="3"/>
  <c r="M35" i="4"/>
  <c r="E35" i="4"/>
  <c r="F24" i="4"/>
  <c r="M12" i="4"/>
  <c r="M17" i="4"/>
  <c r="E17" i="4"/>
  <c r="E16" i="4"/>
  <c r="M16" i="4"/>
  <c r="F14" i="4"/>
  <c r="E15" i="4"/>
  <c r="M15" i="4"/>
  <c r="E14" i="4"/>
  <c r="E13" i="4"/>
  <c r="F13" i="4"/>
  <c r="M13" i="4"/>
  <c r="F18" i="4"/>
  <c r="F19" i="4"/>
  <c r="M19" i="4"/>
  <c r="E19" i="4"/>
  <c r="F20" i="4"/>
  <c r="F23" i="4"/>
  <c r="F22" i="4"/>
  <c r="M25" i="4"/>
  <c r="E25" i="4"/>
  <c r="F25" i="4"/>
  <c r="M26" i="4"/>
  <c r="E26" i="4"/>
  <c r="F31" i="4"/>
  <c r="F28" i="4"/>
  <c r="E31" i="4"/>
  <c r="M30" i="4"/>
  <c r="E30" i="4"/>
  <c r="F30" i="4"/>
  <c r="M29" i="4"/>
  <c r="E29" i="4"/>
  <c r="E28" i="4"/>
  <c r="M27" i="4"/>
  <c r="E27" i="4"/>
  <c r="F32" i="4"/>
  <c r="F33" i="4"/>
  <c r="M34" i="4"/>
  <c r="E34" i="4"/>
  <c r="M36" i="4"/>
  <c r="F36" i="4"/>
  <c r="D43" i="4"/>
  <c r="E43" i="4"/>
  <c r="E20" i="5"/>
  <c r="F40" i="4"/>
  <c r="M40" i="4"/>
  <c r="E40" i="4"/>
  <c r="F16" i="7"/>
  <c r="F15" i="7"/>
  <c r="D44" i="4"/>
  <c r="F44" i="4"/>
  <c r="D20" i="5"/>
  <c r="E44" i="4"/>
  <c r="E42" i="4"/>
  <c r="G20" i="5"/>
  <c r="E45" i="4"/>
  <c r="C20" i="5"/>
  <c r="F43" i="4"/>
  <c r="D42" i="4"/>
  <c r="M42" i="4"/>
  <c r="F42" i="4"/>
  <c r="F45" i="4"/>
  <c r="F36" i="7"/>
  <c r="E17" i="7"/>
  <c r="M17" i="7"/>
  <c r="M37" i="7"/>
  <c r="E37" i="7"/>
  <c r="F37" i="7"/>
  <c r="E36" i="7"/>
  <c r="E33" i="7"/>
  <c r="E32" i="7"/>
  <c r="M27" i="7"/>
  <c r="E27" i="7"/>
  <c r="F24" i="7"/>
  <c r="F23" i="7"/>
  <c r="E23" i="7"/>
  <c r="E22" i="7"/>
  <c r="F21" i="7"/>
  <c r="M21" i="7"/>
  <c r="E21" i="7"/>
  <c r="F20" i="7"/>
  <c r="D53" i="7"/>
  <c r="M19" i="13"/>
  <c r="E19" i="13"/>
  <c r="F17" i="13"/>
  <c r="E16" i="13"/>
  <c r="M16" i="13"/>
  <c r="E14" i="13"/>
  <c r="M12" i="13"/>
  <c r="F21" i="13"/>
  <c r="E21" i="13"/>
  <c r="E20" i="13"/>
  <c r="E18" i="13"/>
  <c r="E17" i="13"/>
  <c r="F15" i="13"/>
  <c r="F12" i="13"/>
  <c r="E22" i="5"/>
  <c r="F40" i="7"/>
  <c r="F42" i="7"/>
  <c r="H22" i="5"/>
  <c r="D43" i="7"/>
  <c r="F43" i="7"/>
  <c r="E39" i="7"/>
  <c r="M39" i="7"/>
  <c r="E41" i="7"/>
  <c r="E44" i="7"/>
  <c r="F44" i="7"/>
  <c r="E40" i="7"/>
  <c r="B22" i="5"/>
  <c r="F45" i="7"/>
  <c r="D42" i="7"/>
  <c r="M42" i="7"/>
  <c r="E43" i="7"/>
  <c r="E42" i="7"/>
  <c r="G22" i="5"/>
  <c r="E45" i="7"/>
  <c r="M25" i="13"/>
  <c r="E25" i="13"/>
  <c r="M24" i="13"/>
  <c r="E24" i="13"/>
  <c r="F23" i="13"/>
  <c r="E23" i="13"/>
  <c r="M22" i="13"/>
  <c r="E22" i="13"/>
  <c r="F22" i="13"/>
  <c r="M36" i="13"/>
  <c r="E36" i="13"/>
  <c r="M34" i="13"/>
  <c r="M32" i="13"/>
  <c r="E29" i="13"/>
  <c r="F27" i="13"/>
  <c r="E27" i="13"/>
  <c r="E26" i="13"/>
  <c r="M31" i="13"/>
  <c r="E31" i="13"/>
  <c r="M30" i="13"/>
  <c r="E30" i="13"/>
  <c r="I24" i="5"/>
  <c r="F39" i="13"/>
  <c r="D44" i="13"/>
  <c r="D24" i="5"/>
  <c r="E37" i="13"/>
  <c r="M37" i="13"/>
  <c r="F40" i="13"/>
  <c r="E40" i="13"/>
  <c r="D42" i="13"/>
  <c r="M42" i="13"/>
  <c r="E39" i="13"/>
  <c r="F38" i="13"/>
  <c r="F44" i="13"/>
  <c r="C24" i="5"/>
  <c r="B24" i="5"/>
  <c r="F41" i="13"/>
  <c r="F42" i="13"/>
  <c r="D53" i="13"/>
  <c r="D43" i="13"/>
  <c r="E45" i="13"/>
  <c r="G24" i="5"/>
  <c r="E42" i="13"/>
  <c r="F43" i="13"/>
  <c r="E43" i="13"/>
  <c r="F45" i="13"/>
  <c r="H24" i="5"/>
  <c r="E44" i="13"/>
  <c r="G47" i="12"/>
  <c r="M12" i="12"/>
  <c r="E12" i="12"/>
  <c r="E26" i="12"/>
  <c r="M22" i="12"/>
  <c r="E22" i="12"/>
  <c r="M21" i="12"/>
  <c r="E21" i="12"/>
  <c r="F20" i="12"/>
  <c r="E20" i="12"/>
  <c r="E19" i="12"/>
  <c r="E18" i="12"/>
  <c r="E17" i="12"/>
  <c r="E16" i="12"/>
  <c r="F15" i="12"/>
  <c r="E15" i="12"/>
  <c r="E14" i="12"/>
  <c r="M35" i="12"/>
  <c r="E35" i="12"/>
  <c r="M34" i="12"/>
  <c r="E34" i="12"/>
  <c r="F33" i="12"/>
  <c r="M32" i="12"/>
  <c r="E32" i="12"/>
  <c r="F31" i="12"/>
  <c r="F30" i="12"/>
  <c r="M27" i="12"/>
  <c r="E27" i="12"/>
  <c r="F39" i="12"/>
  <c r="E39" i="12"/>
  <c r="F38" i="12"/>
  <c r="E38" i="12"/>
  <c r="E31" i="12"/>
  <c r="E30" i="12"/>
  <c r="M29" i="12"/>
  <c r="E29" i="12"/>
  <c r="M28" i="12"/>
  <c r="E28" i="12"/>
  <c r="F28" i="12"/>
  <c r="E13" i="11"/>
  <c r="D45" i="11"/>
  <c r="F45" i="11"/>
  <c r="E28" i="5"/>
  <c r="F28" i="5"/>
  <c r="F13" i="11"/>
  <c r="F42" i="12"/>
  <c r="F40" i="12"/>
  <c r="D45" i="12"/>
  <c r="D44" i="12"/>
  <c r="F44" i="12"/>
  <c r="F43" i="12"/>
  <c r="D56" i="12"/>
  <c r="C26" i="5"/>
  <c r="E44" i="12"/>
  <c r="E45" i="12"/>
  <c r="F45" i="12"/>
  <c r="D26" i="5"/>
  <c r="F46" i="12"/>
  <c r="H26" i="5"/>
  <c r="E40" i="12"/>
  <c r="E43" i="12"/>
  <c r="G26" i="5"/>
  <c r="E46" i="12"/>
  <c r="F16" i="11"/>
  <c r="E16" i="11"/>
  <c r="B28" i="5"/>
  <c r="M15" i="11"/>
  <c r="E15" i="11"/>
  <c r="M14" i="11"/>
  <c r="E14" i="11"/>
  <c r="E18" i="11"/>
  <c r="M18" i="11"/>
  <c r="D55" i="11"/>
  <c r="M29" i="11"/>
  <c r="E29" i="11"/>
  <c r="F30" i="11"/>
  <c r="M35" i="11"/>
  <c r="E35" i="11"/>
  <c r="F34" i="11"/>
  <c r="E34" i="11"/>
  <c r="F33" i="11"/>
  <c r="E33" i="11"/>
  <c r="F32" i="11"/>
  <c r="E32" i="11"/>
  <c r="F31" i="11"/>
  <c r="M31" i="11"/>
  <c r="E31" i="11"/>
  <c r="D44" i="11"/>
  <c r="E44" i="11"/>
  <c r="I28" i="5"/>
  <c r="E42" i="11"/>
  <c r="M42" i="11"/>
  <c r="E41" i="11"/>
  <c r="M41" i="11"/>
  <c r="M40" i="11"/>
  <c r="E40" i="11"/>
  <c r="F46" i="11"/>
  <c r="D43" i="11"/>
  <c r="M43" i="11"/>
  <c r="D28" i="5"/>
  <c r="E45" i="11"/>
  <c r="F43" i="11"/>
  <c r="H28" i="5"/>
  <c r="M39" i="11"/>
  <c r="E39" i="11"/>
  <c r="F44" i="11"/>
  <c r="E46" i="11"/>
  <c r="G28" i="5"/>
  <c r="E43" i="11"/>
  <c r="F37" i="10"/>
  <c r="G46" i="10"/>
  <c r="M21" i="10"/>
  <c r="M41" i="10"/>
  <c r="M36" i="10"/>
  <c r="E36" i="10"/>
  <c r="M34" i="10"/>
  <c r="E34" i="10"/>
  <c r="F35" i="10"/>
  <c r="M28" i="10"/>
  <c r="F27" i="10"/>
  <c r="M26" i="10"/>
  <c r="E25" i="10"/>
  <c r="M25" i="10"/>
  <c r="M22" i="10"/>
  <c r="M18" i="10"/>
  <c r="E18" i="10"/>
  <c r="M17" i="10"/>
  <c r="M12" i="10"/>
  <c r="E12" i="10"/>
  <c r="M40" i="10"/>
  <c r="E40" i="10"/>
  <c r="M39" i="10"/>
  <c r="E39" i="10"/>
  <c r="F38" i="10"/>
  <c r="E38" i="10"/>
  <c r="M33" i="10"/>
  <c r="E33" i="10"/>
  <c r="F33" i="10"/>
  <c r="F32" i="10"/>
  <c r="E32" i="10"/>
  <c r="F31" i="10"/>
  <c r="E31" i="10"/>
  <c r="F30" i="10"/>
  <c r="M29" i="10"/>
  <c r="E29" i="10"/>
  <c r="F28" i="10"/>
  <c r="E27" i="10"/>
  <c r="F26" i="10"/>
  <c r="F24" i="10"/>
  <c r="F20" i="10"/>
  <c r="F17" i="10"/>
  <c r="D44" i="10"/>
  <c r="E44" i="10"/>
  <c r="D53" i="10"/>
  <c r="M16" i="10"/>
  <c r="E16" i="10"/>
  <c r="M15" i="10"/>
  <c r="E15" i="10"/>
  <c r="E14" i="10"/>
  <c r="M14" i="10"/>
  <c r="E13" i="10"/>
  <c r="M13" i="10"/>
  <c r="E13" i="9"/>
  <c r="M13" i="9"/>
  <c r="F14" i="9"/>
  <c r="E14" i="9"/>
  <c r="D43" i="10"/>
  <c r="F43" i="10"/>
  <c r="E41" i="10"/>
  <c r="F41" i="10"/>
  <c r="F45" i="10"/>
  <c r="D30" i="5"/>
  <c r="F44" i="10"/>
  <c r="E45" i="10"/>
  <c r="H30" i="5"/>
  <c r="F42" i="10"/>
  <c r="B30" i="5"/>
  <c r="E43" i="10"/>
  <c r="G30" i="5"/>
  <c r="E42" i="10"/>
  <c r="J39" i="5"/>
  <c r="F35" i="9"/>
  <c r="F33" i="9"/>
  <c r="M27" i="9"/>
  <c r="E27" i="9"/>
  <c r="M24" i="9"/>
  <c r="E24" i="9"/>
  <c r="F23" i="9"/>
  <c r="M17" i="9"/>
  <c r="E17" i="9"/>
  <c r="M16" i="9"/>
  <c r="E16" i="9"/>
  <c r="F34" i="9"/>
  <c r="F32" i="9"/>
  <c r="F31" i="9"/>
  <c r="E31" i="9"/>
  <c r="M30" i="9"/>
  <c r="E30" i="9"/>
  <c r="M29" i="9"/>
  <c r="E29" i="9"/>
  <c r="F29" i="9"/>
  <c r="D54" i="9"/>
  <c r="D45" i="9"/>
  <c r="E45" i="9"/>
  <c r="E22" i="9"/>
  <c r="M22" i="9"/>
  <c r="F21" i="9"/>
  <c r="E21" i="9"/>
  <c r="M20" i="9"/>
  <c r="E20" i="9"/>
  <c r="E18" i="9"/>
  <c r="M14" i="8"/>
  <c r="E14" i="8"/>
  <c r="M13" i="8"/>
  <c r="E13" i="8"/>
  <c r="F16" i="8"/>
  <c r="E16" i="8"/>
  <c r="F14" i="8"/>
  <c r="D44" i="9"/>
  <c r="D43" i="9"/>
  <c r="M43" i="9"/>
  <c r="E41" i="9"/>
  <c r="E40" i="9"/>
  <c r="F39" i="9"/>
  <c r="D32" i="5"/>
  <c r="M38" i="9"/>
  <c r="F38" i="9"/>
  <c r="E38" i="9"/>
  <c r="B32" i="5"/>
  <c r="F44" i="9"/>
  <c r="E44" i="9"/>
  <c r="H32" i="5"/>
  <c r="F43" i="9"/>
  <c r="F46" i="9"/>
  <c r="M37" i="9"/>
  <c r="E37" i="9"/>
  <c r="F45" i="9"/>
  <c r="G32" i="5"/>
  <c r="E46" i="9"/>
  <c r="E43" i="9"/>
  <c r="E17" i="8"/>
  <c r="M17" i="8"/>
  <c r="F18" i="8"/>
  <c r="M18" i="8"/>
  <c r="E18" i="8"/>
  <c r="F19" i="8"/>
  <c r="E19" i="8"/>
  <c r="M21" i="8"/>
  <c r="E21" i="8"/>
  <c r="M20" i="8"/>
  <c r="E20" i="8"/>
  <c r="M26" i="8"/>
  <c r="E26" i="8"/>
  <c r="M31" i="8"/>
  <c r="E31" i="8"/>
  <c r="E28" i="8"/>
  <c r="M28" i="8"/>
  <c r="F27" i="8"/>
  <c r="F32" i="8"/>
  <c r="E32" i="8"/>
  <c r="M32" i="8"/>
  <c r="F33" i="8"/>
  <c r="E33" i="8"/>
  <c r="M34" i="8"/>
  <c r="E34" i="8"/>
  <c r="M35" i="8"/>
  <c r="E35" i="8"/>
  <c r="M39" i="8"/>
  <c r="E39" i="8"/>
  <c r="E40" i="8"/>
  <c r="M40" i="8"/>
  <c r="C34" i="5"/>
  <c r="I40" i="5"/>
  <c r="I39" i="5"/>
  <c r="I41" i="5"/>
  <c r="J40" i="5"/>
  <c r="F15" i="6"/>
  <c r="M14" i="6"/>
  <c r="E14" i="6"/>
  <c r="E15" i="6"/>
  <c r="F13" i="6"/>
  <c r="M13" i="6"/>
  <c r="E13" i="6"/>
  <c r="F12" i="6"/>
  <c r="M12" i="6"/>
  <c r="E12" i="6"/>
  <c r="D43" i="8"/>
  <c r="E43" i="8"/>
  <c r="D34" i="5"/>
  <c r="E44" i="8"/>
  <c r="F44" i="8"/>
  <c r="F43" i="8"/>
  <c r="M41" i="8"/>
  <c r="E41" i="8"/>
  <c r="D53" i="8"/>
  <c r="F41" i="8"/>
  <c r="G34" i="5"/>
  <c r="E42" i="8"/>
  <c r="E45" i="8"/>
  <c r="H34" i="5"/>
  <c r="F42" i="8"/>
  <c r="F45" i="8"/>
  <c r="L40" i="5"/>
  <c r="E42" i="6"/>
  <c r="E41" i="6"/>
  <c r="M36" i="6"/>
  <c r="F36" i="6"/>
  <c r="F30" i="6"/>
  <c r="F27" i="6"/>
  <c r="F24" i="6"/>
  <c r="F18" i="6"/>
  <c r="E17" i="6"/>
  <c r="F41" i="5"/>
  <c r="E40" i="5"/>
  <c r="E41" i="5"/>
  <c r="D45" i="6"/>
  <c r="D36" i="5"/>
  <c r="D44" i="6"/>
  <c r="F44" i="6"/>
  <c r="F42" i="6"/>
  <c r="F41" i="6"/>
  <c r="F38" i="6"/>
  <c r="E37" i="6"/>
  <c r="F35" i="6"/>
  <c r="E35" i="6"/>
  <c r="F34" i="6"/>
  <c r="F33" i="6"/>
  <c r="E33" i="6"/>
  <c r="F32" i="6"/>
  <c r="E31" i="6"/>
  <c r="F31" i="6"/>
  <c r="E30" i="6"/>
  <c r="E29" i="6"/>
  <c r="M26" i="6"/>
  <c r="E26" i="6"/>
  <c r="F25" i="6"/>
  <c r="E25" i="6"/>
  <c r="C36" i="5"/>
  <c r="C41" i="5"/>
  <c r="M23" i="6"/>
  <c r="E23" i="6"/>
  <c r="F22" i="6"/>
  <c r="E22" i="6"/>
  <c r="M20" i="6"/>
  <c r="E20" i="6"/>
  <c r="M19" i="6"/>
  <c r="E19" i="6"/>
  <c r="E18" i="6"/>
  <c r="D43" i="6"/>
  <c r="M43" i="6"/>
  <c r="B36" i="5"/>
  <c r="B40" i="5"/>
  <c r="F16" i="6"/>
  <c r="M16" i="6"/>
  <c r="E16" i="6"/>
  <c r="D54" i="6"/>
  <c r="D41" i="5"/>
  <c r="E45" i="6"/>
  <c r="E44" i="6"/>
  <c r="F45" i="6"/>
  <c r="B41" i="5"/>
  <c r="C40" i="5"/>
  <c r="D40" i="5"/>
  <c r="E46" i="6"/>
  <c r="E43" i="6"/>
  <c r="G36" i="5"/>
  <c r="F46" i="6"/>
  <c r="F43" i="6"/>
  <c r="H36" i="5"/>
  <c r="H39" i="5"/>
  <c r="H41" i="5"/>
  <c r="G39" i="5"/>
  <c r="G4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F42" authorId="0" shapeId="0" xr:uid="{F29FAA8F-E417-43D2-AB80-566433DD2287}">
      <text>
        <r>
          <rPr>
            <sz val="8"/>
            <color indexed="81"/>
            <rFont val="Tahoma"/>
            <family val="2"/>
          </rPr>
          <t>Formula failed to convert</t>
        </r>
      </text>
    </comment>
  </commentList>
</comments>
</file>

<file path=xl/sharedStrings.xml><?xml version="1.0" encoding="utf-8"?>
<sst xmlns="http://schemas.openxmlformats.org/spreadsheetml/2006/main" count="680" uniqueCount="94">
  <si>
    <t>DAILY CLIMATOLOGICAL DATA</t>
  </si>
  <si>
    <t>FOR</t>
  </si>
  <si>
    <t xml:space="preserve">  TEMPERATURE</t>
  </si>
  <si>
    <t xml:space="preserve"> PRECIPITATION</t>
  </si>
  <si>
    <t xml:space="preserve">       WIND</t>
  </si>
  <si>
    <t xml:space="preserve">       DEGREE DAYS</t>
  </si>
  <si>
    <t>WATER</t>
  </si>
  <si>
    <t>DAILY</t>
  </si>
  <si>
    <t xml:space="preserve">   </t>
  </si>
  <si>
    <t xml:space="preserve">       BASE = 65</t>
  </si>
  <si>
    <t xml:space="preserve"> EQUIV-</t>
  </si>
  <si>
    <t>SNOW</t>
  </si>
  <si>
    <t>MAX</t>
  </si>
  <si>
    <t>DIREC-</t>
  </si>
  <si>
    <t>DAY</t>
  </si>
  <si>
    <t>MIN</t>
  </si>
  <si>
    <t>MEAN</t>
  </si>
  <si>
    <t>HEATING</t>
  </si>
  <si>
    <t>COOLING</t>
  </si>
  <si>
    <t>ALENT</t>
  </si>
  <si>
    <t>FALL</t>
  </si>
  <si>
    <t>SPEED</t>
  </si>
  <si>
    <t>TION</t>
  </si>
  <si>
    <t xml:space="preserve"> </t>
  </si>
  <si>
    <t>TOTAL</t>
  </si>
  <si>
    <t>N/A</t>
  </si>
  <si>
    <t>EXTREME</t>
  </si>
  <si>
    <t xml:space="preserve">MEAN </t>
  </si>
  <si>
    <t>CLIMO.</t>
  </si>
  <si>
    <t>PRECIPITATION ABOVE CLIMO.</t>
  </si>
  <si>
    <t>NOTE:  CLIMO. TEMPERATURES ARE EXTREMES.</t>
  </si>
  <si>
    <t>TEMPERATURE</t>
  </si>
  <si>
    <t>PRECIPITATION</t>
  </si>
  <si>
    <t xml:space="preserve">   WIND</t>
  </si>
  <si>
    <t>SOLID</t>
  </si>
  <si>
    <t>EXTREM</t>
  </si>
  <si>
    <t>AVG</t>
  </si>
  <si>
    <t>EQUIV-</t>
  </si>
  <si>
    <t>PRECIP</t>
  </si>
  <si>
    <t>DIREC</t>
  </si>
  <si>
    <t>MONTH</t>
  </si>
  <si>
    <t>KTS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</si>
  <si>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</si>
  <si>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</si>
  <si>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</si>
  <si>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</si>
  <si>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</si>
  <si>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</si>
  <si>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</si>
  <si>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</si>
  <si>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</si>
  <si>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</si>
  <si>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</si>
  <si>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</si>
  <si>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NA</t>
  </si>
  <si>
    <t xml:space="preserve">NOTE:  CLIMO. TEMPERATURES ARE EXTREMES.  </t>
  </si>
  <si>
    <t xml:space="preserve">      </t>
  </si>
  <si>
    <t>DEGREE DAYS</t>
  </si>
  <si>
    <t>24 HOUR</t>
  </si>
  <si>
    <t>MONTHLY AND ANNUAL CLIMATOLOGICAL DATA</t>
  </si>
  <si>
    <t xml:space="preserve">           WIND</t>
  </si>
  <si>
    <t xml:space="preserve"> WIND</t>
  </si>
  <si>
    <t xml:space="preserve">        </t>
  </si>
  <si>
    <t xml:space="preserve">NOTE:  CLIMO. TEMPERATURES ARE EXTREMES. </t>
  </si>
  <si>
    <t>FROM ABOVE</t>
  </si>
  <si>
    <t>CLIMO</t>
  </si>
  <si>
    <t>EXTRME MAX</t>
  </si>
  <si>
    <t>MEAN MAX</t>
  </si>
  <si>
    <t>EXTRME MIN</t>
  </si>
  <si>
    <t>MEAN    MIN</t>
  </si>
  <si>
    <t xml:space="preserve"> MAX</t>
  </si>
  <si>
    <t>24 HR MAX</t>
  </si>
  <si>
    <t>PRECIP.</t>
  </si>
  <si>
    <t>WIND</t>
  </si>
  <si>
    <t>* = HAIL</t>
  </si>
  <si>
    <t xml:space="preserve">NOTE:  CLIMO. TEMPERATURES ARE EXTREMES.  TEMPERATURE </t>
  </si>
  <si>
    <t>NOTE:  CLIMO. TEMPERATURES ARE EXTREMES.   T = TRACE</t>
  </si>
  <si>
    <t>NOTE:  CLIMO. TEMPERATURES ARE EXTREMES.  "T" IN SNOWFALL IS BOTH SNOW AND SLEET.</t>
  </si>
  <si>
    <t>PRECIPITATION ABOVE CLIMO.  SNOWFALL DATA "T" = HAIL</t>
  </si>
  <si>
    <t>502 OSS/OSW    LACKLAND AFB, KELLY ANNEX, TX</t>
  </si>
  <si>
    <t>502 OSS/OSW    LACKLAND AFB, KELLY ANNEX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</si>
  <si>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</si>
  <si>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</si>
  <si>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</si>
  <si>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</si>
  <si>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</si>
  <si>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</si>
  <si>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</si>
  <si>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</si>
  <si>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</si>
  <si>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</si>
  <si>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</si>
  <si>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</si>
  <si>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THE YEAR OF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</si>
</sst>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_)"/>
    <numFmt numFmtId="165" formatCode="0.00_)"/>
    <numFmt numFmtId="166" formatCode="000"/>
    <numFmt numFmtId="167" formatCode="###"/>
  </numFmts>
  <fonts count="23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sz val="12"/>
      <name val="Courier New"/>
      <family val="3"/>
    </font>
    <font>
      <sz val="10"/>
      <name val="Courier New"/>
      <family val="3"/>
    </font>
    <font>
      <sz val="10"/>
      <name val="Arial"/>
      <family val="2"/>
    </font>
    <font>
      <sz val="8"/>
      <color indexed="81"/>
      <name val="Tahoma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i/>
      <sz val="14"/>
      <name val="Arial"/>
      <family val="2"/>
    </font>
    <font>
      <i/>
      <sz val="14"/>
      <name val="Arial"/>
      <family val="2"/>
    </font>
    <font>
      <sz val="14"/>
      <name val="Times New Roman"/>
      <family val="1"/>
    </font>
    <font>
      <sz val="14"/>
      <name val="Courier New"/>
      <family val="3"/>
    </font>
    <font>
      <sz val="8"/>
      <name val="Arial"/>
      <family val="2"/>
    </font>
    <font>
      <sz val="9"/>
      <name val="Arial"/>
      <family val="2"/>
    </font>
    <font>
      <sz val="9"/>
      <name val="Courier New"/>
      <family val="3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 applyAlignment="1"/>
    <xf numFmtId="0" fontId="2" fillId="0" borderId="4" xfId="0" applyFont="1" applyBorder="1" applyAlignment="1">
      <alignment horizontal="centerContinuous"/>
    </xf>
    <xf numFmtId="0" fontId="2" fillId="0" borderId="5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2" fillId="0" borderId="6" xfId="0" applyFont="1" applyBorder="1" applyAlignment="1">
      <alignment horizontal="centerContinuous"/>
    </xf>
    <xf numFmtId="0" fontId="4" fillId="0" borderId="0" xfId="0" applyFont="1"/>
    <xf numFmtId="0" fontId="4" fillId="0" borderId="0" xfId="0" applyFont="1" applyAlignment="1" applyProtection="1">
      <alignment horizontal="left"/>
    </xf>
    <xf numFmtId="0" fontId="4" fillId="0" borderId="4" xfId="0" applyFont="1" applyBorder="1" applyAlignment="1" applyProtection="1">
      <alignment horizontal="fill"/>
    </xf>
    <xf numFmtId="0" fontId="4" fillId="0" borderId="5" xfId="0" applyFont="1" applyBorder="1" applyAlignment="1" applyProtection="1">
      <alignment horizontal="fill"/>
    </xf>
    <xf numFmtId="0" fontId="4" fillId="0" borderId="6" xfId="0" applyFont="1" applyBorder="1" applyAlignment="1" applyProtection="1">
      <alignment horizontal="fill"/>
    </xf>
    <xf numFmtId="165" fontId="4" fillId="0" borderId="0" xfId="0" applyNumberFormat="1" applyFont="1" applyBorder="1" applyAlignment="1" applyProtection="1">
      <alignment horizontal="center"/>
    </xf>
    <xf numFmtId="0" fontId="4" fillId="0" borderId="0" xfId="0" applyFont="1" applyProtection="1"/>
    <xf numFmtId="0" fontId="4" fillId="0" borderId="0" xfId="0" applyFont="1" applyBorder="1"/>
    <xf numFmtId="0" fontId="4" fillId="0" borderId="7" xfId="0" applyFont="1" applyBorder="1"/>
    <xf numFmtId="164" fontId="4" fillId="0" borderId="0" xfId="0" applyNumberFormat="1" applyFont="1" applyBorder="1" applyAlignment="1" applyProtection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5" fillId="0" borderId="1" xfId="0" applyFont="1" applyBorder="1"/>
    <xf numFmtId="0" fontId="5" fillId="0" borderId="2" xfId="0" applyFont="1" applyBorder="1" applyAlignment="1">
      <alignment horizontal="centerContinuous"/>
    </xf>
    <xf numFmtId="0" fontId="5" fillId="0" borderId="2" xfId="0" applyFont="1" applyBorder="1" applyAlignment="1" applyProtection="1">
      <alignment horizontal="centerContinuous"/>
    </xf>
    <xf numFmtId="0" fontId="5" fillId="0" borderId="3" xfId="0" applyFont="1" applyBorder="1"/>
    <xf numFmtId="0" fontId="5" fillId="0" borderId="12" xfId="0" applyFont="1" applyBorder="1"/>
    <xf numFmtId="0" fontId="5" fillId="0" borderId="0" xfId="0" applyFont="1" applyBorder="1" applyAlignment="1">
      <alignment horizontal="centerContinuous"/>
    </xf>
    <xf numFmtId="0" fontId="5" fillId="0" borderId="13" xfId="0" applyFont="1" applyBorder="1"/>
    <xf numFmtId="0" fontId="5" fillId="0" borderId="4" xfId="0" applyFont="1" applyBorder="1" applyAlignment="1" applyProtection="1">
      <alignment horizontal="center"/>
    </xf>
    <xf numFmtId="0" fontId="5" fillId="0" borderId="5" xfId="0" applyFont="1" applyBorder="1" applyAlignment="1" applyProtection="1">
      <alignment horizontal="center"/>
    </xf>
    <xf numFmtId="0" fontId="5" fillId="0" borderId="5" xfId="0" applyFont="1" applyBorder="1" applyAlignment="1" applyProtection="1">
      <alignment horizontal="fill"/>
    </xf>
    <xf numFmtId="0" fontId="5" fillId="0" borderId="6" xfId="0" applyFont="1" applyBorder="1"/>
    <xf numFmtId="0" fontId="5" fillId="0" borderId="0" xfId="0" applyFont="1" applyBorder="1"/>
    <xf numFmtId="0" fontId="5" fillId="0" borderId="0" xfId="0" applyFont="1" applyBorder="1" applyAlignment="1" applyProtection="1">
      <alignment horizontal="center"/>
    </xf>
    <xf numFmtId="0" fontId="5" fillId="0" borderId="0" xfId="0" applyFont="1" applyBorder="1" applyProtection="1"/>
    <xf numFmtId="0" fontId="5" fillId="0" borderId="1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2" xfId="0" applyFont="1" applyBorder="1" applyAlignment="1" applyProtection="1">
      <alignment horizontal="center"/>
    </xf>
    <xf numFmtId="164" fontId="5" fillId="0" borderId="0" xfId="0" applyNumberFormat="1" applyFont="1" applyBorder="1" applyAlignment="1" applyProtection="1">
      <alignment horizontal="center"/>
    </xf>
    <xf numFmtId="165" fontId="5" fillId="0" borderId="0" xfId="0" applyNumberFormat="1" applyFont="1" applyBorder="1" applyAlignment="1" applyProtection="1">
      <alignment horizontal="center"/>
    </xf>
    <xf numFmtId="164" fontId="5" fillId="0" borderId="0" xfId="0" applyNumberFormat="1" applyFont="1" applyBorder="1" applyAlignment="1">
      <alignment horizontal="center"/>
    </xf>
    <xf numFmtId="166" fontId="5" fillId="0" borderId="0" xfId="0" applyNumberFormat="1" applyFont="1" applyBorder="1" applyAlignment="1" applyProtection="1">
      <alignment horizontal="center"/>
    </xf>
    <xf numFmtId="164" fontId="5" fillId="0" borderId="5" xfId="0" applyNumberFormat="1" applyFont="1" applyBorder="1" applyAlignment="1" applyProtection="1">
      <alignment horizontal="center"/>
    </xf>
    <xf numFmtId="165" fontId="5" fillId="0" borderId="5" xfId="0" applyNumberFormat="1" applyFont="1" applyBorder="1" applyAlignment="1" applyProtection="1">
      <alignment horizontal="center"/>
    </xf>
    <xf numFmtId="166" fontId="5" fillId="0" borderId="5" xfId="0" applyNumberFormat="1" applyFont="1" applyBorder="1" applyAlignment="1" applyProtection="1">
      <alignment horizontal="center"/>
    </xf>
    <xf numFmtId="0" fontId="5" fillId="0" borderId="6" xfId="0" applyFont="1" applyBorder="1" applyProtection="1"/>
    <xf numFmtId="0" fontId="5" fillId="0" borderId="13" xfId="0" applyFont="1" applyBorder="1" applyProtection="1"/>
    <xf numFmtId="0" fontId="5" fillId="0" borderId="9" xfId="0" applyFont="1" applyBorder="1" applyAlignment="1" applyProtection="1">
      <alignment horizontal="center"/>
    </xf>
    <xf numFmtId="0" fontId="5" fillId="0" borderId="10" xfId="0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0" fontId="5" fillId="0" borderId="11" xfId="0" applyFont="1" applyBorder="1"/>
    <xf numFmtId="0" fontId="0" fillId="0" borderId="0" xfId="0" applyProtection="1"/>
    <xf numFmtId="164" fontId="0" fillId="0" borderId="0" xfId="0" applyNumberFormat="1"/>
    <xf numFmtId="0" fontId="4" fillId="0" borderId="5" xfId="0" applyFont="1" applyBorder="1" applyAlignment="1" applyProtection="1">
      <alignment horizontal="center"/>
    </xf>
    <xf numFmtId="0" fontId="4" fillId="0" borderId="6" xfId="0" applyFont="1" applyBorder="1" applyAlignment="1" applyProtection="1">
      <alignment horizontal="center"/>
    </xf>
    <xf numFmtId="164" fontId="5" fillId="0" borderId="13" xfId="0" applyNumberFormat="1" applyFont="1" applyBorder="1"/>
    <xf numFmtId="0" fontId="2" fillId="0" borderId="0" xfId="0" applyFont="1" applyBorder="1" applyAlignment="1"/>
    <xf numFmtId="0" fontId="4" fillId="0" borderId="0" xfId="0" applyFont="1" applyBorder="1" applyAlignment="1" applyProtection="1">
      <alignment horizontal="left"/>
    </xf>
    <xf numFmtId="0" fontId="4" fillId="0" borderId="0" xfId="0" applyFont="1" applyBorder="1" applyAlignment="1" applyProtection="1">
      <alignment horizontal="fill"/>
    </xf>
    <xf numFmtId="2" fontId="5" fillId="0" borderId="0" xfId="0" applyNumberFormat="1" applyFont="1" applyBorder="1" applyAlignment="1" applyProtection="1">
      <alignment horizontal="center"/>
    </xf>
    <xf numFmtId="0" fontId="7" fillId="0" borderId="12" xfId="0" applyFont="1" applyBorder="1"/>
    <xf numFmtId="0" fontId="7" fillId="0" borderId="0" xfId="0" applyFont="1" applyBorder="1" applyAlignment="1">
      <alignment horizontal="centerContinuous"/>
    </xf>
    <xf numFmtId="0" fontId="7" fillId="0" borderId="0" xfId="0" applyFont="1" applyBorder="1" applyAlignment="1" applyProtection="1">
      <alignment horizontal="centerContinuous"/>
    </xf>
    <xf numFmtId="0" fontId="7" fillId="0" borderId="2" xfId="0" applyFont="1" applyBorder="1" applyAlignment="1">
      <alignment horizontal="centerContinuous"/>
    </xf>
    <xf numFmtId="0" fontId="4" fillId="0" borderId="4" xfId="0" applyFont="1" applyBorder="1" applyAlignment="1" applyProtection="1">
      <alignment horizontal="center"/>
    </xf>
    <xf numFmtId="0" fontId="7" fillId="0" borderId="12" xfId="0" applyFont="1" applyBorder="1" applyAlignment="1">
      <alignment horizontal="centerContinuous"/>
    </xf>
    <xf numFmtId="0" fontId="9" fillId="0" borderId="0" xfId="0" applyFont="1" applyBorder="1" applyAlignment="1" applyProtection="1">
      <alignment horizontal="centerContinuous"/>
    </xf>
    <xf numFmtId="0" fontId="9" fillId="0" borderId="0" xfId="0" applyFont="1" applyBorder="1" applyAlignment="1">
      <alignment horizontal="centerContinuous"/>
    </xf>
    <xf numFmtId="0" fontId="9" fillId="0" borderId="13" xfId="0" applyFont="1" applyBorder="1" applyAlignment="1">
      <alignment horizontal="centerContinuous"/>
    </xf>
    <xf numFmtId="0" fontId="10" fillId="0" borderId="12" xfId="0" applyFont="1" applyBorder="1" applyAlignment="1">
      <alignment horizontal="centerContinuous"/>
    </xf>
    <xf numFmtId="0" fontId="11" fillId="0" borderId="0" xfId="0" applyFont="1" applyBorder="1" applyAlignment="1">
      <alignment horizontal="centerContinuous"/>
    </xf>
    <xf numFmtId="17" fontId="7" fillId="0" borderId="12" xfId="0" quotePrefix="1" applyNumberFormat="1" applyFont="1" applyBorder="1" applyAlignment="1">
      <alignment horizontal="centerContinuous"/>
    </xf>
    <xf numFmtId="0" fontId="9" fillId="0" borderId="0" xfId="0" applyNumberFormat="1" applyFont="1" applyBorder="1" applyAlignment="1" applyProtection="1">
      <alignment horizontal="centerContinuous"/>
    </xf>
    <xf numFmtId="0" fontId="7" fillId="0" borderId="1" xfId="0" applyFont="1" applyBorder="1" applyAlignment="1">
      <alignment horizontal="centerContinuous"/>
    </xf>
    <xf numFmtId="0" fontId="9" fillId="0" borderId="2" xfId="0" applyFont="1" applyBorder="1" applyAlignment="1" applyProtection="1">
      <alignment horizontal="centerContinuous"/>
    </xf>
    <xf numFmtId="0" fontId="9" fillId="0" borderId="2" xfId="0" applyFont="1" applyBorder="1" applyAlignment="1">
      <alignment horizontal="centerContinuous"/>
    </xf>
    <xf numFmtId="0" fontId="9" fillId="0" borderId="3" xfId="0" applyFont="1" applyBorder="1" applyAlignment="1">
      <alignment horizontal="centerContinuous"/>
    </xf>
    <xf numFmtId="0" fontId="9" fillId="0" borderId="4" xfId="0" applyFont="1" applyBorder="1" applyAlignment="1">
      <alignment horizontal="centerContinuous"/>
    </xf>
    <xf numFmtId="0" fontId="9" fillId="0" borderId="5" xfId="0" applyFont="1" applyBorder="1" applyAlignment="1">
      <alignment horizontal="centerContinuous"/>
    </xf>
    <xf numFmtId="0" fontId="9" fillId="0" borderId="6" xfId="0" applyFont="1" applyBorder="1" applyAlignment="1">
      <alignment horizontal="centerContinuous"/>
    </xf>
    <xf numFmtId="0" fontId="8" fillId="0" borderId="12" xfId="0" applyFont="1" applyBorder="1"/>
    <xf numFmtId="0" fontId="8" fillId="0" borderId="0" xfId="0" applyFont="1" applyBorder="1" applyAlignment="1" applyProtection="1">
      <alignment horizontal="center"/>
    </xf>
    <xf numFmtId="0" fontId="8" fillId="0" borderId="0" xfId="0" applyFont="1" applyBorder="1"/>
    <xf numFmtId="0" fontId="8" fillId="0" borderId="0" xfId="0" applyFont="1" applyBorder="1" applyAlignment="1" applyProtection="1">
      <alignment horizontal="left"/>
    </xf>
    <xf numFmtId="0" fontId="8" fillId="0" borderId="13" xfId="0" applyFont="1" applyBorder="1"/>
    <xf numFmtId="0" fontId="8" fillId="0" borderId="0" xfId="0" applyFont="1" applyBorder="1" applyAlignment="1" applyProtection="1"/>
    <xf numFmtId="0" fontId="8" fillId="0" borderId="0" xfId="0" applyFont="1" applyBorder="1" applyAlignment="1"/>
    <xf numFmtId="0" fontId="8" fillId="0" borderId="13" xfId="0" applyFont="1" applyBorder="1" applyAlignment="1"/>
    <xf numFmtId="0" fontId="8" fillId="0" borderId="13" xfId="0" applyFont="1" applyBorder="1" applyAlignment="1" applyProtection="1"/>
    <xf numFmtId="0" fontId="8" fillId="0" borderId="12" xfId="0" applyFont="1" applyBorder="1" applyAlignment="1" applyProtection="1">
      <alignment horizontal="center"/>
    </xf>
    <xf numFmtId="0" fontId="8" fillId="0" borderId="13" xfId="0" applyFont="1" applyBorder="1" applyAlignment="1" applyProtection="1">
      <alignment horizontal="center"/>
    </xf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/>
    <xf numFmtId="0" fontId="13" fillId="0" borderId="12" xfId="0" applyFont="1" applyBorder="1" applyAlignment="1">
      <alignment horizontal="centerContinuous"/>
    </xf>
    <xf numFmtId="0" fontId="13" fillId="0" borderId="0" xfId="0" applyFont="1" applyBorder="1" applyAlignment="1">
      <alignment horizontal="centerContinuous"/>
    </xf>
    <xf numFmtId="0" fontId="14" fillId="0" borderId="0" xfId="0" applyFont="1" applyBorder="1" applyAlignment="1" applyProtection="1">
      <alignment horizontal="centerContinuous"/>
    </xf>
    <xf numFmtId="0" fontId="14" fillId="0" borderId="0" xfId="0" applyFont="1" applyBorder="1" applyAlignment="1">
      <alignment horizontal="centerContinuous"/>
    </xf>
    <xf numFmtId="0" fontId="14" fillId="0" borderId="13" xfId="0" applyFont="1" applyBorder="1" applyAlignment="1">
      <alignment horizontal="centerContinuous"/>
    </xf>
    <xf numFmtId="0" fontId="15" fillId="0" borderId="12" xfId="0" applyFont="1" applyBorder="1" applyAlignment="1">
      <alignment horizontal="centerContinuous"/>
    </xf>
    <xf numFmtId="0" fontId="16" fillId="0" borderId="0" xfId="0" applyFont="1" applyBorder="1" applyAlignment="1">
      <alignment horizontal="centerContinuous"/>
    </xf>
    <xf numFmtId="17" fontId="13" fillId="0" borderId="12" xfId="0" quotePrefix="1" applyNumberFormat="1" applyFont="1" applyBorder="1" applyAlignment="1">
      <alignment horizontal="centerContinuous"/>
    </xf>
    <xf numFmtId="0" fontId="14" fillId="0" borderId="0" xfId="0" applyNumberFormat="1" applyFont="1" applyBorder="1" applyAlignment="1" applyProtection="1">
      <alignment horizontal="centerContinuous"/>
    </xf>
    <xf numFmtId="0" fontId="17" fillId="0" borderId="4" xfId="0" applyFont="1" applyBorder="1" applyAlignment="1">
      <alignment horizontal="centerContinuous"/>
    </xf>
    <xf numFmtId="0" fontId="17" fillId="0" borderId="5" xfId="0" applyFont="1" applyBorder="1" applyAlignment="1">
      <alignment horizontal="centerContinuous"/>
    </xf>
    <xf numFmtId="0" fontId="18" fillId="0" borderId="5" xfId="0" applyFont="1" applyBorder="1" applyAlignment="1">
      <alignment horizontal="centerContinuous"/>
    </xf>
    <xf numFmtId="0" fontId="17" fillId="0" borderId="6" xfId="0" applyFont="1" applyBorder="1" applyAlignment="1">
      <alignment horizontal="centerContinuous"/>
    </xf>
    <xf numFmtId="0" fontId="7" fillId="0" borderId="12" xfId="0" applyFont="1" applyBorder="1" applyAlignment="1">
      <alignment horizontal="center"/>
    </xf>
    <xf numFmtId="0" fontId="7" fillId="0" borderId="0" xfId="0" applyFont="1" applyBorder="1" applyAlignment="1" applyProtection="1">
      <alignment horizontal="center"/>
    </xf>
    <xf numFmtId="0" fontId="7" fillId="0" borderId="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3" xfId="0" applyFont="1" applyBorder="1" applyAlignment="1" applyProtection="1">
      <alignment horizontal="center"/>
    </xf>
    <xf numFmtId="0" fontId="7" fillId="0" borderId="12" xfId="0" applyFont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/>
    </xf>
    <xf numFmtId="0" fontId="9" fillId="0" borderId="5" xfId="0" applyFont="1" applyBorder="1" applyAlignment="1" applyProtection="1">
      <alignment horizontal="center"/>
    </xf>
    <xf numFmtId="0" fontId="9" fillId="0" borderId="6" xfId="0" applyFont="1" applyBorder="1" applyAlignment="1" applyProtection="1">
      <alignment horizontal="center"/>
    </xf>
    <xf numFmtId="0" fontId="9" fillId="0" borderId="12" xfId="0" applyFont="1" applyBorder="1" applyAlignment="1" applyProtection="1">
      <alignment horizontal="center"/>
    </xf>
    <xf numFmtId="0" fontId="9" fillId="0" borderId="0" xfId="0" applyFont="1" applyBorder="1" applyAlignment="1" applyProtection="1">
      <alignment horizontal="center"/>
    </xf>
    <xf numFmtId="164" fontId="9" fillId="0" borderId="0" xfId="0" applyNumberFormat="1" applyFont="1" applyBorder="1" applyAlignment="1" applyProtection="1">
      <alignment horizontal="center"/>
    </xf>
    <xf numFmtId="2" fontId="9" fillId="0" borderId="0" xfId="1" applyNumberFormat="1" applyFont="1" applyBorder="1" applyAlignment="1" applyProtection="1">
      <alignment horizontal="center"/>
    </xf>
    <xf numFmtId="165" fontId="9" fillId="0" borderId="0" xfId="0" applyNumberFormat="1" applyFont="1" applyBorder="1" applyAlignment="1" applyProtection="1">
      <alignment horizontal="center"/>
    </xf>
    <xf numFmtId="166" fontId="9" fillId="0" borderId="13" xfId="0" quotePrefix="1" applyNumberFormat="1" applyFont="1" applyBorder="1" applyAlignment="1" applyProtection="1">
      <alignment horizontal="center"/>
    </xf>
    <xf numFmtId="2" fontId="9" fillId="0" borderId="0" xfId="0" applyNumberFormat="1" applyFont="1" applyBorder="1" applyAlignment="1" applyProtection="1">
      <alignment horizontal="center"/>
    </xf>
    <xf numFmtId="0" fontId="9" fillId="0" borderId="0" xfId="0" applyFont="1" applyBorder="1" applyAlignment="1">
      <alignment horizontal="center"/>
    </xf>
    <xf numFmtId="166" fontId="9" fillId="0" borderId="13" xfId="0" quotePrefix="1" applyNumberFormat="1" applyFont="1" applyBorder="1" applyAlignment="1">
      <alignment horizontal="center"/>
    </xf>
    <xf numFmtId="166" fontId="9" fillId="0" borderId="13" xfId="0" applyNumberFormat="1" applyFont="1" applyBorder="1" applyAlignment="1">
      <alignment horizontal="center"/>
    </xf>
    <xf numFmtId="164" fontId="9" fillId="0" borderId="5" xfId="0" applyNumberFormat="1" applyFont="1" applyBorder="1" applyAlignment="1" applyProtection="1">
      <alignment horizontal="center"/>
    </xf>
    <xf numFmtId="2" fontId="9" fillId="0" borderId="5" xfId="0" applyNumberFormat="1" applyFont="1" applyBorder="1" applyAlignment="1" applyProtection="1">
      <alignment horizontal="center"/>
    </xf>
    <xf numFmtId="165" fontId="9" fillId="0" borderId="5" xfId="0" applyNumberFormat="1" applyFont="1" applyBorder="1" applyAlignment="1" applyProtection="1">
      <alignment horizontal="center"/>
    </xf>
    <xf numFmtId="166" fontId="9" fillId="0" borderId="6" xfId="0" applyNumberFormat="1" applyFont="1" applyBorder="1" applyAlignment="1" applyProtection="1">
      <alignment horizontal="center"/>
    </xf>
    <xf numFmtId="166" fontId="9" fillId="0" borderId="13" xfId="0" applyNumberFormat="1" applyFont="1" applyBorder="1" applyAlignment="1" applyProtection="1">
      <alignment horizontal="center"/>
    </xf>
    <xf numFmtId="0" fontId="9" fillId="0" borderId="12" xfId="0" applyFont="1" applyBorder="1"/>
    <xf numFmtId="0" fontId="9" fillId="0" borderId="0" xfId="0" applyFont="1" applyBorder="1"/>
    <xf numFmtId="164" fontId="9" fillId="0" borderId="0" xfId="0" applyNumberFormat="1" applyFont="1" applyBorder="1" applyProtection="1"/>
    <xf numFmtId="0" fontId="9" fillId="0" borderId="13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0" xfId="0" applyFont="1"/>
    <xf numFmtId="0" fontId="8" fillId="0" borderId="0" xfId="0" applyFont="1" applyBorder="1" applyAlignment="1" applyProtection="1">
      <alignment horizontal="right"/>
    </xf>
    <xf numFmtId="0" fontId="5" fillId="0" borderId="6" xfId="0" applyFont="1" applyBorder="1" applyAlignment="1" applyProtection="1">
      <alignment horizontal="fill"/>
    </xf>
    <xf numFmtId="164" fontId="5" fillId="0" borderId="0" xfId="0" applyNumberFormat="1" applyFont="1" applyBorder="1" applyProtection="1"/>
    <xf numFmtId="2" fontId="5" fillId="0" borderId="0" xfId="1" applyNumberFormat="1" applyFont="1" applyBorder="1" applyAlignment="1" applyProtection="1">
      <alignment horizontal="center"/>
    </xf>
    <xf numFmtId="166" fontId="5" fillId="0" borderId="13" xfId="0" quotePrefix="1" applyNumberFormat="1" applyFont="1" applyBorder="1" applyAlignment="1" applyProtection="1">
      <alignment horizontal="center"/>
    </xf>
    <xf numFmtId="166" fontId="5" fillId="0" borderId="13" xfId="0" quotePrefix="1" applyNumberFormat="1" applyFont="1" applyBorder="1" applyAlignment="1">
      <alignment horizontal="center"/>
    </xf>
    <xf numFmtId="166" fontId="5" fillId="0" borderId="13" xfId="0" applyNumberFormat="1" applyFont="1" applyBorder="1" applyAlignment="1">
      <alignment horizontal="center"/>
    </xf>
    <xf numFmtId="0" fontId="5" fillId="0" borderId="7" xfId="0" applyFont="1" applyBorder="1"/>
    <xf numFmtId="2" fontId="5" fillId="0" borderId="7" xfId="0" applyNumberFormat="1" applyFont="1" applyBorder="1" applyAlignment="1" applyProtection="1">
      <alignment horizontal="center"/>
    </xf>
    <xf numFmtId="165" fontId="5" fillId="0" borderId="7" xfId="0" applyNumberFormat="1" applyFont="1" applyBorder="1" applyAlignment="1" applyProtection="1">
      <alignment horizontal="center"/>
    </xf>
    <xf numFmtId="0" fontId="5" fillId="0" borderId="7" xfId="0" applyFont="1" applyBorder="1" applyAlignment="1">
      <alignment horizontal="center"/>
    </xf>
    <xf numFmtId="166" fontId="5" fillId="0" borderId="8" xfId="0" quotePrefix="1" applyNumberFormat="1" applyFont="1" applyBorder="1" applyAlignment="1">
      <alignment horizontal="center"/>
    </xf>
    <xf numFmtId="2" fontId="5" fillId="0" borderId="0" xfId="0" applyNumberFormat="1" applyFont="1" applyBorder="1" applyAlignment="1" applyProtection="1"/>
    <xf numFmtId="166" fontId="5" fillId="0" borderId="13" xfId="0" applyNumberFormat="1" applyFont="1" applyBorder="1" applyAlignment="1" applyProtection="1">
      <alignment horizontal="center"/>
    </xf>
    <xf numFmtId="166" fontId="5" fillId="0" borderId="13" xfId="0" applyNumberFormat="1" applyFont="1" applyBorder="1"/>
    <xf numFmtId="0" fontId="5" fillId="0" borderId="14" xfId="0" applyFont="1" applyBorder="1" applyAlignment="1" applyProtection="1">
      <alignment horizontal="left"/>
    </xf>
    <xf numFmtId="0" fontId="5" fillId="0" borderId="9" xfId="0" applyFont="1" applyBorder="1"/>
    <xf numFmtId="0" fontId="5" fillId="0" borderId="10" xfId="0" applyFont="1" applyBorder="1"/>
    <xf numFmtId="166" fontId="5" fillId="0" borderId="11" xfId="0" applyNumberFormat="1" applyFont="1" applyBorder="1"/>
    <xf numFmtId="0" fontId="5" fillId="0" borderId="0" xfId="0" applyFont="1"/>
    <xf numFmtId="0" fontId="14" fillId="0" borderId="4" xfId="0" applyFont="1" applyBorder="1" applyAlignment="1">
      <alignment horizontal="centerContinuous"/>
    </xf>
    <xf numFmtId="0" fontId="14" fillId="0" borderId="5" xfId="0" applyFont="1" applyBorder="1" applyAlignment="1">
      <alignment horizontal="centerContinuous"/>
    </xf>
    <xf numFmtId="0" fontId="14" fillId="0" borderId="6" xfId="0" applyFont="1" applyBorder="1" applyAlignment="1">
      <alignment horizontal="centerContinuous"/>
    </xf>
    <xf numFmtId="0" fontId="5" fillId="0" borderId="14" xfId="0" applyFont="1" applyBorder="1" applyAlignment="1" applyProtection="1">
      <alignment horizontal="center"/>
    </xf>
    <xf numFmtId="164" fontId="5" fillId="0" borderId="7" xfId="0" applyNumberFormat="1" applyFont="1" applyBorder="1" applyAlignment="1" applyProtection="1">
      <alignment horizontal="center"/>
    </xf>
    <xf numFmtId="0" fontId="8" fillId="0" borderId="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2" fontId="0" fillId="0" borderId="0" xfId="0" applyNumberFormat="1"/>
    <xf numFmtId="2" fontId="5" fillId="0" borderId="0" xfId="0" quotePrefix="1" applyNumberFormat="1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</xf>
    <xf numFmtId="164" fontId="5" fillId="0" borderId="13" xfId="0" applyNumberFormat="1" applyFont="1" applyBorder="1" applyAlignment="1" applyProtection="1">
      <alignment horizontal="center"/>
    </xf>
    <xf numFmtId="0" fontId="5" fillId="0" borderId="12" xfId="0" applyFont="1" applyBorder="1" applyAlignment="1" applyProtection="1">
      <alignment horizontal="left"/>
    </xf>
    <xf numFmtId="164" fontId="5" fillId="0" borderId="0" xfId="0" applyNumberFormat="1" applyFont="1" applyBorder="1" applyAlignment="1" applyProtection="1"/>
    <xf numFmtId="0" fontId="5" fillId="0" borderId="8" xfId="0" applyFont="1" applyBorder="1"/>
    <xf numFmtId="0" fontId="8" fillId="0" borderId="13" xfId="0" applyFont="1" applyBorder="1" applyAlignment="1" applyProtection="1">
      <alignment horizontal="right"/>
    </xf>
    <xf numFmtId="0" fontId="8" fillId="0" borderId="12" xfId="0" applyFont="1" applyBorder="1" applyAlignment="1" applyProtection="1">
      <alignment horizontal="right"/>
    </xf>
    <xf numFmtId="0" fontId="5" fillId="0" borderId="2" xfId="0" applyFont="1" applyBorder="1"/>
    <xf numFmtId="0" fontId="5" fillId="0" borderId="4" xfId="0" applyFont="1" applyBorder="1" applyAlignment="1" applyProtection="1">
      <alignment horizontal="fill"/>
    </xf>
    <xf numFmtId="0" fontId="5" fillId="0" borderId="8" xfId="0" applyFont="1" applyBorder="1" applyAlignment="1" applyProtection="1">
      <alignment horizontal="center"/>
    </xf>
    <xf numFmtId="0" fontId="5" fillId="0" borderId="12" xfId="0" applyFont="1" applyBorder="1" applyProtection="1"/>
    <xf numFmtId="166" fontId="5" fillId="0" borderId="3" xfId="0" quotePrefix="1" applyNumberFormat="1" applyFont="1" applyBorder="1" applyAlignment="1" applyProtection="1">
      <alignment horizontal="center"/>
    </xf>
    <xf numFmtId="0" fontId="5" fillId="0" borderId="14" xfId="0" applyFont="1" applyBorder="1" applyProtection="1"/>
    <xf numFmtId="0" fontId="2" fillId="0" borderId="15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16" xfId="0" applyFont="1" applyBorder="1" applyAlignment="1">
      <alignment horizontal="centerContinuous"/>
    </xf>
    <xf numFmtId="0" fontId="2" fillId="0" borderId="17" xfId="0" applyFont="1" applyBorder="1" applyAlignment="1">
      <alignment horizontal="centerContinuous"/>
    </xf>
    <xf numFmtId="0" fontId="0" fillId="0" borderId="0" xfId="0" applyBorder="1"/>
    <xf numFmtId="0" fontId="4" fillId="0" borderId="0" xfId="0" applyFont="1" applyBorder="1" applyProtection="1"/>
    <xf numFmtId="0" fontId="5" fillId="0" borderId="6" xfId="0" applyFont="1" applyBorder="1" applyAlignment="1" applyProtection="1">
      <alignment horizontal="center"/>
    </xf>
    <xf numFmtId="0" fontId="20" fillId="0" borderId="14" xfId="0" applyFont="1" applyBorder="1" applyAlignment="1" applyProtection="1">
      <alignment horizontal="left"/>
    </xf>
    <xf numFmtId="0" fontId="20" fillId="0" borderId="9" xfId="0" applyFont="1" applyBorder="1"/>
    <xf numFmtId="0" fontId="20" fillId="0" borderId="10" xfId="0" applyFont="1" applyBorder="1"/>
    <xf numFmtId="0" fontId="9" fillId="0" borderId="12" xfId="0" applyFont="1" applyBorder="1" applyAlignment="1">
      <alignment horizontal="centerContinuous"/>
    </xf>
    <xf numFmtId="2" fontId="5" fillId="0" borderId="5" xfId="0" applyNumberFormat="1" applyFont="1" applyBorder="1" applyAlignment="1" applyProtection="1">
      <alignment horizontal="center"/>
    </xf>
    <xf numFmtId="0" fontId="5" fillId="0" borderId="10" xfId="0" applyFont="1" applyBorder="1" applyAlignment="1" applyProtection="1">
      <alignment horizontal="center"/>
    </xf>
    <xf numFmtId="164" fontId="5" fillId="0" borderId="10" xfId="0" applyNumberFormat="1" applyFont="1" applyBorder="1" applyAlignment="1" applyProtection="1">
      <alignment horizontal="center"/>
    </xf>
    <xf numFmtId="2" fontId="5" fillId="0" borderId="10" xfId="0" applyNumberFormat="1" applyFont="1" applyBorder="1" applyAlignment="1" applyProtection="1">
      <alignment horizontal="center"/>
    </xf>
    <xf numFmtId="165" fontId="5" fillId="0" borderId="10" xfId="0" applyNumberFormat="1" applyFont="1" applyBorder="1" applyAlignment="1" applyProtection="1">
      <alignment horizontal="center"/>
    </xf>
    <xf numFmtId="166" fontId="5" fillId="0" borderId="11" xfId="0" applyNumberFormat="1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right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8" xfId="0" applyBorder="1" applyAlignment="1">
      <alignment wrapText="1"/>
    </xf>
    <xf numFmtId="0" fontId="5" fillId="0" borderId="18" xfId="0" applyFont="1" applyBorder="1" applyAlignment="1" applyProtection="1">
      <alignment horizontal="center"/>
    </xf>
    <xf numFmtId="164" fontId="5" fillId="0" borderId="18" xfId="0" applyNumberFormat="1" applyFont="1" applyBorder="1" applyAlignment="1" applyProtection="1">
      <alignment horizontal="center"/>
    </xf>
    <xf numFmtId="2" fontId="5" fillId="0" borderId="18" xfId="0" applyNumberFormat="1" applyFont="1" applyBorder="1" applyAlignment="1" applyProtection="1">
      <alignment horizontal="center"/>
    </xf>
    <xf numFmtId="0" fontId="19" fillId="0" borderId="12" xfId="0" applyFont="1" applyFill="1" applyBorder="1" applyAlignment="1" applyProtection="1">
      <alignment horizontal="left"/>
    </xf>
    <xf numFmtId="0" fontId="19" fillId="0" borderId="0" xfId="0" applyFont="1" applyFill="1" applyBorder="1"/>
    <xf numFmtId="0" fontId="19" fillId="0" borderId="13" xfId="0" applyFont="1" applyFill="1" applyBorder="1"/>
    <xf numFmtId="0" fontId="19" fillId="0" borderId="12" xfId="0" applyFont="1" applyFill="1" applyBorder="1"/>
    <xf numFmtId="0" fontId="19" fillId="0" borderId="9" xfId="0" applyFont="1" applyFill="1" applyBorder="1"/>
    <xf numFmtId="0" fontId="19" fillId="0" borderId="10" xfId="0" applyFont="1" applyFill="1" applyBorder="1"/>
    <xf numFmtId="0" fontId="19" fillId="0" borderId="11" xfId="0" applyFont="1" applyFill="1" applyBorder="1"/>
    <xf numFmtId="0" fontId="9" fillId="0" borderId="14" xfId="0" applyFont="1" applyFill="1" applyBorder="1" applyAlignment="1" applyProtection="1">
      <alignment horizontal="left"/>
    </xf>
    <xf numFmtId="0" fontId="9" fillId="0" borderId="7" xfId="0" applyFont="1" applyFill="1" applyBorder="1"/>
    <xf numFmtId="0" fontId="9" fillId="0" borderId="0" xfId="0" applyFont="1" applyFill="1" applyBorder="1" applyAlignment="1" applyProtection="1">
      <alignment horizontal="center"/>
    </xf>
    <xf numFmtId="0" fontId="20" fillId="0" borderId="7" xfId="0" applyFont="1" applyBorder="1"/>
    <xf numFmtId="0" fontId="20" fillId="0" borderId="8" xfId="0" applyFont="1" applyBorder="1"/>
    <xf numFmtId="0" fontId="21" fillId="0" borderId="0" xfId="0" applyFont="1"/>
    <xf numFmtId="167" fontId="5" fillId="0" borderId="13" xfId="0" applyNumberFormat="1" applyFont="1" applyBorder="1" applyAlignment="1" applyProtection="1">
      <alignment horizontal="center"/>
    </xf>
    <xf numFmtId="0" fontId="5" fillId="0" borderId="9" xfId="0" applyFont="1" applyBorder="1" applyAlignment="1" applyProtection="1">
      <alignment horizontal="left"/>
    </xf>
    <xf numFmtId="166" fontId="5" fillId="0" borderId="13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7" fillId="0" borderId="2" xfId="0" applyFont="1" applyBorder="1" applyAlignment="1" applyProtection="1">
      <alignment horizontal="center"/>
    </xf>
    <xf numFmtId="0" fontId="7" fillId="0" borderId="0" xfId="0" applyFont="1" applyBorder="1" applyAlignment="1" applyProtection="1">
      <alignment horizontal="center"/>
    </xf>
    <xf numFmtId="0" fontId="7" fillId="0" borderId="3" xfId="0" applyFont="1" applyBorder="1" applyAlignment="1" applyProtection="1">
      <alignment horizontal="center"/>
    </xf>
    <xf numFmtId="0" fontId="5" fillId="0" borderId="14" xfId="0" applyFont="1" applyBorder="1" applyAlignment="1" applyProtection="1">
      <alignment horizontal="left"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8" fillId="0" borderId="0" xfId="0" applyFont="1" applyBorder="1" applyAlignment="1" applyProtection="1">
      <alignment horizontal="center"/>
    </xf>
    <xf numFmtId="0" fontId="8" fillId="0" borderId="13" xfId="0" applyFont="1" applyBorder="1" applyAlignment="1" applyProtection="1">
      <alignment horizontal="center"/>
    </xf>
    <xf numFmtId="0" fontId="8" fillId="0" borderId="2" xfId="0" applyFont="1" applyBorder="1" applyAlignment="1" applyProtection="1">
      <alignment horizontal="center"/>
    </xf>
    <xf numFmtId="0" fontId="8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10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8D4F-8835-49EB-AD6D-D9BBFFF658F0}">
  <sheetPr codeName="Sheet1">
    <pageSetUpPr fitToPage="1"/>
  </sheetPr>
  <dimension ref="A1:O56"/>
  <sheetViews>
    <sheetView topLeftCell="A8" zoomScaleNormal="100" workbookViewId="0">
      <selection activeCell="E24" sqref="E24"/>
    </sheetView>
  </sheetViews>
  <sheetFormatPr defaultRowHeight="12.75" x14ac:dyDescent="0.2"/>
  <cols>
    <col min="4" max="4" width="8" customWidth="1"/>
    <col min="5" max="6" width="11" bestFit="1" customWidth="1"/>
  </cols>
  <sheetData>
    <row r="1" spans="1:13" ht="13.5" thickBot="1" x14ac:dyDescent="0.25">
      <c r="A1" s="1"/>
      <c r="B1" s="2"/>
      <c r="C1" s="2"/>
      <c r="D1" s="2"/>
      <c r="E1" s="2"/>
      <c r="F1" s="2"/>
      <c r="G1" s="2"/>
      <c r="H1" s="2"/>
      <c r="I1" s="2"/>
      <c r="J1" s="3"/>
    </row>
    <row r="2" spans="1:13" ht="15.75" x14ac:dyDescent="0.25">
      <c r="A2" s="75" t="s">
        <v>79</v>
      </c>
      <c r="B2" s="65"/>
      <c r="C2" s="76"/>
      <c r="D2" s="77"/>
      <c r="E2" s="77"/>
      <c r="F2" s="77"/>
      <c r="G2" s="77"/>
      <c r="H2" s="77"/>
      <c r="I2" s="77"/>
      <c r="J2" s="78"/>
      <c r="K2" s="4"/>
      <c r="L2" s="4"/>
      <c r="M2" s="4"/>
    </row>
    <row r="3" spans="1:13" ht="15.75" x14ac:dyDescent="0.25">
      <c r="A3" s="67" t="s">
        <v>0</v>
      </c>
      <c r="B3" s="63"/>
      <c r="C3" s="68"/>
      <c r="D3" s="69"/>
      <c r="E3" s="69"/>
      <c r="F3" s="69"/>
      <c r="G3" s="69"/>
      <c r="H3" s="69"/>
      <c r="I3" s="63"/>
      <c r="J3" s="70"/>
      <c r="K3" s="4"/>
      <c r="L3" s="4"/>
      <c r="M3" s="4"/>
    </row>
    <row r="4" spans="1:13" ht="15.75" x14ac:dyDescent="0.25">
      <c r="A4" s="71" t="s">
        <v>1</v>
      </c>
      <c r="B4" s="63"/>
      <c r="C4" s="68"/>
      <c r="D4" s="69"/>
      <c r="E4" s="69"/>
      <c r="F4" s="72"/>
      <c r="G4" s="69"/>
      <c r="H4" s="69"/>
      <c r="I4" s="63"/>
      <c r="J4" s="70"/>
      <c r="K4" s="4"/>
      <c r="L4" s="4"/>
      <c r="M4" s="4"/>
    </row>
    <row r="5" spans="1:13" ht="15.75" x14ac:dyDescent="0.25">
      <c r="A5" s="73" t="s">
        <v>81</v>
      </c>
      <c r="B5" s="69"/>
      <c r="C5" s="74"/>
      <c r="D5" s="69"/>
      <c r="E5" s="69"/>
      <c r="F5" s="69"/>
      <c r="G5" s="69"/>
      <c r="H5" s="69"/>
      <c r="I5" s="69"/>
      <c r="J5" s="70"/>
      <c r="K5" s="4"/>
      <c r="L5" s="4"/>
      <c r="M5" s="4"/>
    </row>
    <row r="6" spans="1:13" ht="16.5" thickBot="1" x14ac:dyDescent="0.3">
      <c r="A6" s="79"/>
      <c r="B6" s="80"/>
      <c r="C6" s="80"/>
      <c r="D6" s="80"/>
      <c r="E6" s="80"/>
      <c r="F6" s="80"/>
      <c r="G6" s="80"/>
      <c r="H6" s="80"/>
      <c r="I6" s="80"/>
      <c r="J6" s="81"/>
      <c r="K6" s="58"/>
      <c r="L6" s="58"/>
      <c r="M6" s="4"/>
    </row>
    <row r="7" spans="1:13" ht="13.5" x14ac:dyDescent="0.25">
      <c r="A7" s="82"/>
      <c r="B7" s="83" t="s">
        <v>2</v>
      </c>
      <c r="C7" s="84"/>
      <c r="D7" s="84"/>
      <c r="E7" s="84"/>
      <c r="F7" s="84"/>
      <c r="G7" s="85" t="s">
        <v>3</v>
      </c>
      <c r="H7" s="84"/>
      <c r="I7" s="83" t="s">
        <v>4</v>
      </c>
      <c r="J7" s="86"/>
      <c r="K7" s="9"/>
      <c r="L7" s="9"/>
      <c r="M7" s="9"/>
    </row>
    <row r="8" spans="1:13" ht="13.5" x14ac:dyDescent="0.25">
      <c r="A8" s="82"/>
      <c r="B8" s="84"/>
      <c r="C8" s="84"/>
      <c r="D8" s="85" t="s">
        <v>5</v>
      </c>
      <c r="E8" s="84"/>
      <c r="F8" s="84"/>
      <c r="G8" s="83" t="s">
        <v>6</v>
      </c>
      <c r="H8" s="83" t="s">
        <v>7</v>
      </c>
      <c r="I8" s="168"/>
      <c r="J8" s="169"/>
      <c r="K8" s="9"/>
      <c r="L8" s="9"/>
      <c r="M8" s="9"/>
    </row>
    <row r="9" spans="1:13" ht="13.5" x14ac:dyDescent="0.25">
      <c r="A9" s="82"/>
      <c r="B9" s="85" t="s">
        <v>8</v>
      </c>
      <c r="C9" s="84"/>
      <c r="D9" s="85" t="s">
        <v>9</v>
      </c>
      <c r="E9" s="84"/>
      <c r="F9" s="84"/>
      <c r="G9" s="83" t="s">
        <v>10</v>
      </c>
      <c r="H9" s="83" t="s">
        <v>11</v>
      </c>
      <c r="I9" s="83" t="s">
        <v>12</v>
      </c>
      <c r="J9" s="92" t="s">
        <v>13</v>
      </c>
      <c r="K9" s="9"/>
      <c r="L9" s="9"/>
      <c r="M9" s="9"/>
    </row>
    <row r="10" spans="1:13" ht="13.5" x14ac:dyDescent="0.25">
      <c r="A10" s="91" t="s">
        <v>14</v>
      </c>
      <c r="B10" s="83" t="s">
        <v>12</v>
      </c>
      <c r="C10" s="83" t="s">
        <v>15</v>
      </c>
      <c r="D10" s="143" t="s">
        <v>16</v>
      </c>
      <c r="E10" s="143" t="s">
        <v>17</v>
      </c>
      <c r="F10" s="143" t="s">
        <v>18</v>
      </c>
      <c r="G10" s="83" t="s">
        <v>19</v>
      </c>
      <c r="H10" s="83" t="s">
        <v>20</v>
      </c>
      <c r="I10" s="83" t="s">
        <v>21</v>
      </c>
      <c r="J10" s="92" t="s">
        <v>22</v>
      </c>
      <c r="K10" s="10" t="s">
        <v>23</v>
      </c>
      <c r="L10" s="9"/>
      <c r="M10" s="9"/>
    </row>
    <row r="11" spans="1:13" ht="14.25" thickBot="1" x14ac:dyDescent="0.3">
      <c r="A11" s="180"/>
      <c r="B11" s="32"/>
      <c r="C11" s="32"/>
      <c r="D11" s="32"/>
      <c r="E11" s="32"/>
      <c r="F11" s="32"/>
      <c r="G11" s="32"/>
      <c r="H11" s="32"/>
      <c r="I11" s="32"/>
      <c r="J11" s="144"/>
      <c r="K11" s="60"/>
      <c r="L11" s="59"/>
      <c r="M11" s="9"/>
    </row>
    <row r="12" spans="1:13" ht="13.5" x14ac:dyDescent="0.25">
      <c r="A12" s="39">
        <v>1</v>
      </c>
      <c r="B12" s="35">
        <v>63</v>
      </c>
      <c r="C12" s="35">
        <v>47</v>
      </c>
      <c r="D12" s="40">
        <f t="shared" ref="D12:D42" si="0">(B12+C12)/2</f>
        <v>55</v>
      </c>
      <c r="E12" s="40">
        <f t="shared" ref="E12:E42" si="1">IF(65-D12&gt;0,65-M12,0)</f>
        <v>10</v>
      </c>
      <c r="F12" s="40">
        <f t="shared" ref="F12:F42" si="2">IF((D12)-65&lt;0,0,(D12)-65)</f>
        <v>0</v>
      </c>
      <c r="G12" s="146">
        <v>0</v>
      </c>
      <c r="H12" s="41">
        <v>0</v>
      </c>
      <c r="I12" s="35">
        <v>22</v>
      </c>
      <c r="J12" s="147">
        <v>50</v>
      </c>
      <c r="K12" s="9"/>
      <c r="L12" s="9"/>
      <c r="M12" s="15">
        <f t="shared" ref="M12:M42" si="3">IF(D12=0,65,D12)</f>
        <v>55</v>
      </c>
    </row>
    <row r="13" spans="1:13" ht="13.5" x14ac:dyDescent="0.25">
      <c r="A13" s="39">
        <v>2</v>
      </c>
      <c r="B13" s="35">
        <v>63</v>
      </c>
      <c r="C13" s="35">
        <v>47</v>
      </c>
      <c r="D13" s="40">
        <f t="shared" si="0"/>
        <v>55</v>
      </c>
      <c r="E13" s="40">
        <f t="shared" si="1"/>
        <v>10</v>
      </c>
      <c r="F13" s="40">
        <f t="shared" si="2"/>
        <v>0</v>
      </c>
      <c r="G13" s="61">
        <v>0</v>
      </c>
      <c r="H13" s="41">
        <v>0</v>
      </c>
      <c r="I13" s="35">
        <v>11</v>
      </c>
      <c r="J13" s="147">
        <v>10</v>
      </c>
      <c r="K13" s="9"/>
      <c r="L13" s="9"/>
      <c r="M13" s="15">
        <f t="shared" si="3"/>
        <v>55</v>
      </c>
    </row>
    <row r="14" spans="1:13" ht="13.5" x14ac:dyDescent="0.25">
      <c r="A14" s="39">
        <v>3</v>
      </c>
      <c r="B14" s="35">
        <v>67</v>
      </c>
      <c r="C14" s="35">
        <v>49</v>
      </c>
      <c r="D14" s="40">
        <f t="shared" si="0"/>
        <v>58</v>
      </c>
      <c r="E14" s="40">
        <f t="shared" si="1"/>
        <v>7</v>
      </c>
      <c r="F14" s="40">
        <f t="shared" si="2"/>
        <v>0</v>
      </c>
      <c r="G14" s="61">
        <v>0</v>
      </c>
      <c r="H14" s="41">
        <v>0</v>
      </c>
      <c r="I14" s="35">
        <v>13</v>
      </c>
      <c r="J14" s="147">
        <v>50</v>
      </c>
      <c r="K14" s="9"/>
      <c r="L14" s="9"/>
      <c r="M14" s="15">
        <f t="shared" si="3"/>
        <v>58</v>
      </c>
    </row>
    <row r="15" spans="1:13" ht="13.5" x14ac:dyDescent="0.25">
      <c r="A15" s="39">
        <v>4</v>
      </c>
      <c r="B15" s="35">
        <v>75</v>
      </c>
      <c r="C15" s="35">
        <v>61</v>
      </c>
      <c r="D15" s="40">
        <f t="shared" si="0"/>
        <v>68</v>
      </c>
      <c r="E15" s="40">
        <f t="shared" si="1"/>
        <v>0</v>
      </c>
      <c r="F15" s="40">
        <f t="shared" si="2"/>
        <v>3</v>
      </c>
      <c r="G15" s="61">
        <v>0</v>
      </c>
      <c r="H15" s="41">
        <v>0</v>
      </c>
      <c r="I15" s="35">
        <v>20</v>
      </c>
      <c r="J15" s="147">
        <v>30</v>
      </c>
      <c r="K15" s="9"/>
      <c r="L15" s="9"/>
      <c r="M15" s="15">
        <f t="shared" si="3"/>
        <v>68</v>
      </c>
    </row>
    <row r="16" spans="1:13" ht="13.5" x14ac:dyDescent="0.25">
      <c r="A16" s="39">
        <v>5</v>
      </c>
      <c r="B16" s="35">
        <v>79</v>
      </c>
      <c r="C16" s="35">
        <v>43</v>
      </c>
      <c r="D16" s="40">
        <f t="shared" si="0"/>
        <v>61</v>
      </c>
      <c r="E16" s="40">
        <f t="shared" si="1"/>
        <v>4</v>
      </c>
      <c r="F16" s="40">
        <f t="shared" si="2"/>
        <v>0</v>
      </c>
      <c r="G16" s="61">
        <v>0</v>
      </c>
      <c r="H16" s="41">
        <v>0</v>
      </c>
      <c r="I16" s="35">
        <v>23</v>
      </c>
      <c r="J16" s="147">
        <v>360</v>
      </c>
      <c r="K16" s="9"/>
      <c r="L16" s="9"/>
      <c r="M16" s="15">
        <f t="shared" si="3"/>
        <v>61</v>
      </c>
    </row>
    <row r="17" spans="1:13" ht="13.5" x14ac:dyDescent="0.25">
      <c r="A17" s="39">
        <v>6</v>
      </c>
      <c r="B17" s="35">
        <v>52</v>
      </c>
      <c r="C17" s="35">
        <v>32</v>
      </c>
      <c r="D17" s="40">
        <f t="shared" si="0"/>
        <v>42</v>
      </c>
      <c r="E17" s="40">
        <f t="shared" si="1"/>
        <v>23</v>
      </c>
      <c r="F17" s="40">
        <f t="shared" si="2"/>
        <v>0</v>
      </c>
      <c r="G17" s="61">
        <v>0</v>
      </c>
      <c r="H17" s="41">
        <v>0</v>
      </c>
      <c r="I17" s="35">
        <v>28</v>
      </c>
      <c r="J17" s="147">
        <v>360</v>
      </c>
      <c r="K17" s="9"/>
      <c r="L17" s="9"/>
      <c r="M17" s="15">
        <f t="shared" si="3"/>
        <v>42</v>
      </c>
    </row>
    <row r="18" spans="1:13" ht="13.5" x14ac:dyDescent="0.25">
      <c r="A18" s="39">
        <v>7</v>
      </c>
      <c r="B18" s="38">
        <v>52</v>
      </c>
      <c r="C18" s="38">
        <v>30</v>
      </c>
      <c r="D18" s="40">
        <f t="shared" si="0"/>
        <v>41</v>
      </c>
      <c r="E18" s="40">
        <f t="shared" si="1"/>
        <v>24</v>
      </c>
      <c r="F18" s="40">
        <f t="shared" si="2"/>
        <v>0</v>
      </c>
      <c r="G18" s="61">
        <v>0</v>
      </c>
      <c r="H18" s="41">
        <v>0</v>
      </c>
      <c r="I18" s="38">
        <v>18</v>
      </c>
      <c r="J18" s="148">
        <v>40</v>
      </c>
      <c r="K18" s="9"/>
      <c r="L18" s="9"/>
      <c r="M18" s="15">
        <f t="shared" si="3"/>
        <v>41</v>
      </c>
    </row>
    <row r="19" spans="1:13" ht="13.5" x14ac:dyDescent="0.25">
      <c r="A19" s="39">
        <v>8</v>
      </c>
      <c r="B19" s="38">
        <v>45</v>
      </c>
      <c r="C19" s="38">
        <v>37</v>
      </c>
      <c r="D19" s="40">
        <f t="shared" si="0"/>
        <v>41</v>
      </c>
      <c r="E19" s="40">
        <f t="shared" si="1"/>
        <v>24</v>
      </c>
      <c r="F19" s="40">
        <f t="shared" si="2"/>
        <v>0</v>
      </c>
      <c r="G19" s="61">
        <v>0</v>
      </c>
      <c r="H19" s="41">
        <v>0</v>
      </c>
      <c r="I19" s="38">
        <v>19</v>
      </c>
      <c r="J19" s="148">
        <v>20</v>
      </c>
      <c r="K19" s="9"/>
      <c r="L19" s="9"/>
      <c r="M19" s="15">
        <f t="shared" si="3"/>
        <v>41</v>
      </c>
    </row>
    <row r="20" spans="1:13" ht="13.5" x14ac:dyDescent="0.25">
      <c r="A20" s="39">
        <v>9</v>
      </c>
      <c r="B20" s="38">
        <v>42</v>
      </c>
      <c r="C20" s="38">
        <v>37</v>
      </c>
      <c r="D20" s="40">
        <f t="shared" si="0"/>
        <v>39.5</v>
      </c>
      <c r="E20" s="40">
        <f t="shared" si="1"/>
        <v>25.5</v>
      </c>
      <c r="F20" s="40">
        <f t="shared" si="2"/>
        <v>0</v>
      </c>
      <c r="G20" s="61">
        <v>0.88</v>
      </c>
      <c r="H20" s="41">
        <v>0</v>
      </c>
      <c r="I20" s="38">
        <v>19</v>
      </c>
      <c r="J20" s="148">
        <v>360</v>
      </c>
      <c r="K20" s="9"/>
      <c r="L20" s="9"/>
      <c r="M20" s="15">
        <f t="shared" si="3"/>
        <v>39.5</v>
      </c>
    </row>
    <row r="21" spans="1:13" ht="13.5" x14ac:dyDescent="0.25">
      <c r="A21" s="39">
        <v>10</v>
      </c>
      <c r="B21" s="38">
        <v>48</v>
      </c>
      <c r="C21" s="38">
        <v>33</v>
      </c>
      <c r="D21" s="40">
        <f t="shared" si="0"/>
        <v>40.5</v>
      </c>
      <c r="E21" s="40">
        <f t="shared" si="1"/>
        <v>24.5</v>
      </c>
      <c r="F21" s="40">
        <f t="shared" si="2"/>
        <v>0</v>
      </c>
      <c r="G21" s="61">
        <v>0</v>
      </c>
      <c r="H21" s="41">
        <v>0</v>
      </c>
      <c r="I21" s="38">
        <v>33</v>
      </c>
      <c r="J21" s="148">
        <v>340</v>
      </c>
      <c r="K21" s="9"/>
      <c r="L21" s="9"/>
      <c r="M21" s="15">
        <f t="shared" si="3"/>
        <v>40.5</v>
      </c>
    </row>
    <row r="22" spans="1:13" ht="13.5" x14ac:dyDescent="0.25">
      <c r="A22" s="39">
        <v>11</v>
      </c>
      <c r="B22" s="38">
        <v>59</v>
      </c>
      <c r="C22" s="38">
        <v>26</v>
      </c>
      <c r="D22" s="40">
        <f t="shared" si="0"/>
        <v>42.5</v>
      </c>
      <c r="E22" s="40">
        <f t="shared" si="1"/>
        <v>22.5</v>
      </c>
      <c r="F22" s="40">
        <f t="shared" si="2"/>
        <v>0</v>
      </c>
      <c r="G22" s="61">
        <v>0</v>
      </c>
      <c r="H22" s="41">
        <v>0</v>
      </c>
      <c r="I22" s="38">
        <v>19</v>
      </c>
      <c r="J22" s="148">
        <v>170</v>
      </c>
      <c r="K22" s="9"/>
      <c r="L22" s="9"/>
      <c r="M22" s="15">
        <f t="shared" si="3"/>
        <v>42.5</v>
      </c>
    </row>
    <row r="23" spans="1:13" ht="13.5" x14ac:dyDescent="0.25">
      <c r="A23" s="39">
        <v>12</v>
      </c>
      <c r="B23" s="38">
        <v>66</v>
      </c>
      <c r="C23" s="38">
        <v>31</v>
      </c>
      <c r="D23" s="40">
        <f t="shared" si="0"/>
        <v>48.5</v>
      </c>
      <c r="E23" s="40">
        <f t="shared" si="1"/>
        <v>16.5</v>
      </c>
      <c r="F23" s="40">
        <f t="shared" si="2"/>
        <v>0</v>
      </c>
      <c r="G23" s="61">
        <v>0</v>
      </c>
      <c r="H23" s="41">
        <v>0</v>
      </c>
      <c r="I23" s="38">
        <v>17</v>
      </c>
      <c r="J23" s="149">
        <v>350</v>
      </c>
      <c r="K23" s="9"/>
      <c r="L23" s="9"/>
      <c r="M23" s="15">
        <f t="shared" si="3"/>
        <v>48.5</v>
      </c>
    </row>
    <row r="24" spans="1:13" ht="13.5" x14ac:dyDescent="0.25">
      <c r="A24" s="39">
        <v>13</v>
      </c>
      <c r="B24" s="38">
        <v>60</v>
      </c>
      <c r="C24" s="38">
        <v>43</v>
      </c>
      <c r="D24" s="40">
        <f t="shared" si="0"/>
        <v>51.5</v>
      </c>
      <c r="E24" s="40">
        <f t="shared" si="1"/>
        <v>13.5</v>
      </c>
      <c r="F24" s="40">
        <f t="shared" si="2"/>
        <v>0</v>
      </c>
      <c r="G24" s="61">
        <v>0</v>
      </c>
      <c r="H24" s="41">
        <v>0</v>
      </c>
      <c r="I24" s="38">
        <v>18</v>
      </c>
      <c r="J24" s="148">
        <v>20</v>
      </c>
      <c r="K24" s="9"/>
      <c r="L24" s="9"/>
      <c r="M24" s="15">
        <f t="shared" si="3"/>
        <v>51.5</v>
      </c>
    </row>
    <row r="25" spans="1:13" ht="13.5" x14ac:dyDescent="0.25">
      <c r="A25" s="39">
        <v>14</v>
      </c>
      <c r="B25" s="38">
        <v>55</v>
      </c>
      <c r="C25" s="38">
        <v>38</v>
      </c>
      <c r="D25" s="40">
        <f t="shared" si="0"/>
        <v>46.5</v>
      </c>
      <c r="E25" s="40">
        <f t="shared" si="1"/>
        <v>18.5</v>
      </c>
      <c r="F25" s="40">
        <f t="shared" si="2"/>
        <v>0</v>
      </c>
      <c r="G25" s="61">
        <v>0</v>
      </c>
      <c r="H25" s="41">
        <v>0</v>
      </c>
      <c r="I25" s="38">
        <v>10</v>
      </c>
      <c r="J25" s="149">
        <v>10</v>
      </c>
      <c r="K25" s="9"/>
      <c r="L25" s="9"/>
      <c r="M25" s="15">
        <f t="shared" si="3"/>
        <v>46.5</v>
      </c>
    </row>
    <row r="26" spans="1:13" ht="13.5" x14ac:dyDescent="0.25">
      <c r="A26" s="39">
        <v>15</v>
      </c>
      <c r="B26" s="38">
        <v>62</v>
      </c>
      <c r="C26" s="38">
        <v>40</v>
      </c>
      <c r="D26" s="40">
        <f t="shared" si="0"/>
        <v>51</v>
      </c>
      <c r="E26" s="40">
        <f t="shared" si="1"/>
        <v>14</v>
      </c>
      <c r="F26" s="40">
        <f t="shared" si="2"/>
        <v>0</v>
      </c>
      <c r="G26" s="61">
        <v>0</v>
      </c>
      <c r="H26" s="41">
        <v>0</v>
      </c>
      <c r="I26" s="38">
        <v>13</v>
      </c>
      <c r="J26" s="148">
        <v>20</v>
      </c>
      <c r="K26" s="9"/>
      <c r="L26" s="9"/>
      <c r="M26" s="15">
        <f t="shared" si="3"/>
        <v>51</v>
      </c>
    </row>
    <row r="27" spans="1:13" ht="13.5" x14ac:dyDescent="0.25">
      <c r="A27" s="39">
        <v>16</v>
      </c>
      <c r="B27" s="38">
        <v>65</v>
      </c>
      <c r="C27" s="38">
        <v>35</v>
      </c>
      <c r="D27" s="40">
        <f t="shared" si="0"/>
        <v>50</v>
      </c>
      <c r="E27" s="40">
        <f t="shared" si="1"/>
        <v>15</v>
      </c>
      <c r="F27" s="40">
        <f t="shared" si="2"/>
        <v>0</v>
      </c>
      <c r="G27" s="61">
        <v>0</v>
      </c>
      <c r="H27" s="41">
        <v>0</v>
      </c>
      <c r="I27" s="38">
        <v>9</v>
      </c>
      <c r="J27" s="148">
        <v>100</v>
      </c>
      <c r="K27" s="9"/>
      <c r="L27" s="9"/>
      <c r="M27" s="15">
        <f t="shared" si="3"/>
        <v>50</v>
      </c>
    </row>
    <row r="28" spans="1:13" ht="13.5" x14ac:dyDescent="0.25">
      <c r="A28" s="39">
        <v>17</v>
      </c>
      <c r="B28" s="38">
        <v>61</v>
      </c>
      <c r="C28" s="38">
        <v>47</v>
      </c>
      <c r="D28" s="40">
        <f t="shared" si="0"/>
        <v>54</v>
      </c>
      <c r="E28" s="40">
        <f t="shared" si="1"/>
        <v>11</v>
      </c>
      <c r="F28" s="40">
        <f t="shared" si="2"/>
        <v>0</v>
      </c>
      <c r="G28" s="61">
        <v>0</v>
      </c>
      <c r="H28" s="41">
        <v>0</v>
      </c>
      <c r="I28" s="38">
        <v>21</v>
      </c>
      <c r="J28" s="148">
        <v>190</v>
      </c>
      <c r="K28" s="9"/>
      <c r="L28" s="9"/>
      <c r="M28" s="15">
        <f t="shared" si="3"/>
        <v>54</v>
      </c>
    </row>
    <row r="29" spans="1:13" ht="13.5" x14ac:dyDescent="0.25">
      <c r="A29" s="39">
        <v>18</v>
      </c>
      <c r="B29" s="38">
        <v>55</v>
      </c>
      <c r="C29" s="38">
        <v>42</v>
      </c>
      <c r="D29" s="40">
        <f t="shared" si="0"/>
        <v>48.5</v>
      </c>
      <c r="E29" s="40">
        <f t="shared" si="1"/>
        <v>16.5</v>
      </c>
      <c r="F29" s="40">
        <f t="shared" si="2"/>
        <v>0</v>
      </c>
      <c r="G29" s="61">
        <v>0</v>
      </c>
      <c r="H29" s="41">
        <v>0</v>
      </c>
      <c r="I29" s="38">
        <v>28</v>
      </c>
      <c r="J29" s="148">
        <v>10</v>
      </c>
      <c r="K29" s="9"/>
      <c r="L29" s="9"/>
      <c r="M29" s="15">
        <f t="shared" si="3"/>
        <v>48.5</v>
      </c>
    </row>
    <row r="30" spans="1:13" ht="13.5" x14ac:dyDescent="0.25">
      <c r="A30" s="39">
        <v>19</v>
      </c>
      <c r="B30" s="38">
        <v>46</v>
      </c>
      <c r="C30" s="38">
        <v>33</v>
      </c>
      <c r="D30" s="40">
        <f t="shared" si="0"/>
        <v>39.5</v>
      </c>
      <c r="E30" s="40">
        <f t="shared" si="1"/>
        <v>25.5</v>
      </c>
      <c r="F30" s="40">
        <f t="shared" si="2"/>
        <v>0</v>
      </c>
      <c r="G30" s="61">
        <v>0</v>
      </c>
      <c r="H30" s="41">
        <v>0</v>
      </c>
      <c r="I30" s="38">
        <v>33</v>
      </c>
      <c r="J30" s="148">
        <v>10</v>
      </c>
      <c r="K30" s="9"/>
      <c r="L30" s="9"/>
      <c r="M30" s="15">
        <f t="shared" si="3"/>
        <v>39.5</v>
      </c>
    </row>
    <row r="31" spans="1:13" ht="13.5" x14ac:dyDescent="0.25">
      <c r="A31" s="39">
        <v>20</v>
      </c>
      <c r="B31" s="38">
        <v>66</v>
      </c>
      <c r="C31" s="38">
        <v>28</v>
      </c>
      <c r="D31" s="40">
        <f t="shared" si="0"/>
        <v>47</v>
      </c>
      <c r="E31" s="40">
        <f t="shared" si="1"/>
        <v>18</v>
      </c>
      <c r="F31" s="40">
        <f t="shared" si="2"/>
        <v>0</v>
      </c>
      <c r="G31" s="61">
        <v>0</v>
      </c>
      <c r="H31" s="41">
        <v>0</v>
      </c>
      <c r="I31" s="38">
        <v>23</v>
      </c>
      <c r="J31" s="148">
        <v>40</v>
      </c>
      <c r="K31" s="9"/>
      <c r="L31" s="9"/>
      <c r="M31" s="15">
        <f t="shared" si="3"/>
        <v>47</v>
      </c>
    </row>
    <row r="32" spans="1:13" ht="13.5" x14ac:dyDescent="0.25">
      <c r="A32" s="39">
        <v>21</v>
      </c>
      <c r="B32" s="38">
        <v>41</v>
      </c>
      <c r="C32" s="38">
        <v>39</v>
      </c>
      <c r="D32" s="40">
        <f t="shared" si="0"/>
        <v>40</v>
      </c>
      <c r="E32" s="40">
        <f t="shared" si="1"/>
        <v>25</v>
      </c>
      <c r="F32" s="40">
        <f t="shared" si="2"/>
        <v>0</v>
      </c>
      <c r="G32" s="61">
        <v>0</v>
      </c>
      <c r="H32" s="41">
        <v>0</v>
      </c>
      <c r="I32" s="38">
        <v>25</v>
      </c>
      <c r="J32" s="148">
        <v>20</v>
      </c>
      <c r="K32" s="9"/>
      <c r="L32" s="9"/>
      <c r="M32" s="15">
        <f t="shared" si="3"/>
        <v>40</v>
      </c>
    </row>
    <row r="33" spans="1:15" ht="13.5" x14ac:dyDescent="0.25">
      <c r="A33" s="39">
        <v>22</v>
      </c>
      <c r="B33" s="38">
        <v>52</v>
      </c>
      <c r="C33" s="38">
        <v>45</v>
      </c>
      <c r="D33" s="40">
        <f t="shared" si="0"/>
        <v>48.5</v>
      </c>
      <c r="E33" s="40">
        <f t="shared" si="1"/>
        <v>16.5</v>
      </c>
      <c r="F33" s="40">
        <f t="shared" si="2"/>
        <v>0</v>
      </c>
      <c r="G33" s="61">
        <v>0</v>
      </c>
      <c r="H33" s="41">
        <v>0</v>
      </c>
      <c r="I33" s="38">
        <v>16</v>
      </c>
      <c r="J33" s="148">
        <v>200</v>
      </c>
      <c r="K33" s="9"/>
      <c r="L33" s="9"/>
      <c r="M33" s="15">
        <f t="shared" si="3"/>
        <v>48.5</v>
      </c>
    </row>
    <row r="34" spans="1:15" ht="13.5" x14ac:dyDescent="0.25">
      <c r="A34" s="39">
        <v>23</v>
      </c>
      <c r="B34" s="38">
        <v>48</v>
      </c>
      <c r="C34" s="38">
        <v>29</v>
      </c>
      <c r="D34" s="40">
        <f t="shared" si="0"/>
        <v>38.5</v>
      </c>
      <c r="E34" s="40">
        <f t="shared" si="1"/>
        <v>26.5</v>
      </c>
      <c r="F34" s="40">
        <f t="shared" si="2"/>
        <v>0</v>
      </c>
      <c r="G34" s="61">
        <v>0</v>
      </c>
      <c r="H34" s="41">
        <v>0</v>
      </c>
      <c r="I34" s="38">
        <v>25</v>
      </c>
      <c r="J34" s="148">
        <v>20</v>
      </c>
      <c r="K34" s="9"/>
      <c r="L34" s="9"/>
      <c r="M34" s="15">
        <f t="shared" si="3"/>
        <v>38.5</v>
      </c>
    </row>
    <row r="35" spans="1:15" ht="13.5" x14ac:dyDescent="0.25">
      <c r="A35" s="39">
        <v>24</v>
      </c>
      <c r="B35" s="38">
        <v>59</v>
      </c>
      <c r="C35" s="38">
        <v>23</v>
      </c>
      <c r="D35" s="40">
        <f t="shared" si="0"/>
        <v>41</v>
      </c>
      <c r="E35" s="40">
        <f t="shared" si="1"/>
        <v>24</v>
      </c>
      <c r="F35" s="40">
        <f t="shared" si="2"/>
        <v>0</v>
      </c>
      <c r="G35" s="61">
        <v>0</v>
      </c>
      <c r="H35" s="41">
        <v>0</v>
      </c>
      <c r="I35" s="38">
        <v>17</v>
      </c>
      <c r="J35" s="148">
        <v>230</v>
      </c>
      <c r="K35" s="9"/>
      <c r="L35" s="9"/>
      <c r="M35" s="15">
        <f t="shared" si="3"/>
        <v>41</v>
      </c>
    </row>
    <row r="36" spans="1:15" ht="13.5" x14ac:dyDescent="0.25">
      <c r="A36" s="39">
        <v>25</v>
      </c>
      <c r="B36" s="38">
        <v>66</v>
      </c>
      <c r="C36" s="38">
        <v>34</v>
      </c>
      <c r="D36" s="40">
        <f t="shared" si="0"/>
        <v>50</v>
      </c>
      <c r="E36" s="40">
        <f t="shared" si="1"/>
        <v>15</v>
      </c>
      <c r="F36" s="40">
        <f t="shared" si="2"/>
        <v>0</v>
      </c>
      <c r="G36" s="61">
        <v>0</v>
      </c>
      <c r="H36" s="41">
        <v>0</v>
      </c>
      <c r="I36" s="38">
        <v>14</v>
      </c>
      <c r="J36" s="148">
        <v>150</v>
      </c>
      <c r="K36" s="9"/>
      <c r="L36" s="9"/>
      <c r="M36" s="15">
        <f t="shared" si="3"/>
        <v>50</v>
      </c>
    </row>
    <row r="37" spans="1:15" ht="13.5" x14ac:dyDescent="0.25">
      <c r="A37" s="39">
        <v>26</v>
      </c>
      <c r="B37" s="38">
        <v>75</v>
      </c>
      <c r="C37" s="38">
        <v>53</v>
      </c>
      <c r="D37" s="40">
        <f t="shared" si="0"/>
        <v>64</v>
      </c>
      <c r="E37" s="40">
        <f t="shared" si="1"/>
        <v>1</v>
      </c>
      <c r="F37" s="40">
        <f t="shared" si="2"/>
        <v>0</v>
      </c>
      <c r="G37" s="61">
        <v>0</v>
      </c>
      <c r="H37" s="41">
        <v>0</v>
      </c>
      <c r="I37" s="38">
        <v>18</v>
      </c>
      <c r="J37" s="148">
        <v>10</v>
      </c>
      <c r="K37" s="9"/>
      <c r="L37" s="9"/>
      <c r="M37" s="15">
        <f t="shared" si="3"/>
        <v>64</v>
      </c>
    </row>
    <row r="38" spans="1:15" ht="13.5" x14ac:dyDescent="0.25">
      <c r="A38" s="39">
        <v>27</v>
      </c>
      <c r="B38" s="38">
        <v>55</v>
      </c>
      <c r="C38" s="38">
        <v>50</v>
      </c>
      <c r="D38" s="40">
        <f t="shared" si="0"/>
        <v>52.5</v>
      </c>
      <c r="E38" s="40">
        <f t="shared" si="1"/>
        <v>12.5</v>
      </c>
      <c r="F38" s="40">
        <f t="shared" si="2"/>
        <v>0</v>
      </c>
      <c r="G38" s="61">
        <v>0</v>
      </c>
      <c r="H38" s="41">
        <v>0</v>
      </c>
      <c r="I38" s="38">
        <v>22</v>
      </c>
      <c r="J38" s="149">
        <v>50</v>
      </c>
      <c r="K38" s="9"/>
      <c r="L38" s="9"/>
      <c r="M38" s="15">
        <f t="shared" si="3"/>
        <v>52.5</v>
      </c>
    </row>
    <row r="39" spans="1:15" ht="13.5" x14ac:dyDescent="0.25">
      <c r="A39" s="39">
        <v>28</v>
      </c>
      <c r="B39" s="38">
        <v>55</v>
      </c>
      <c r="C39" s="38">
        <v>50</v>
      </c>
      <c r="D39" s="40">
        <f t="shared" si="0"/>
        <v>52.5</v>
      </c>
      <c r="E39" s="40">
        <f t="shared" si="1"/>
        <v>12.5</v>
      </c>
      <c r="F39" s="40">
        <f t="shared" si="2"/>
        <v>0</v>
      </c>
      <c r="G39" s="61">
        <v>0</v>
      </c>
      <c r="H39" s="41">
        <v>0</v>
      </c>
      <c r="I39" s="38">
        <v>12</v>
      </c>
      <c r="J39" s="148">
        <v>30</v>
      </c>
      <c r="K39" s="9"/>
      <c r="L39" s="9"/>
      <c r="M39" s="15">
        <f t="shared" si="3"/>
        <v>52.5</v>
      </c>
    </row>
    <row r="40" spans="1:15" ht="13.5" x14ac:dyDescent="0.25">
      <c r="A40" s="39">
        <v>29</v>
      </c>
      <c r="B40" s="38">
        <v>70</v>
      </c>
      <c r="C40" s="38">
        <v>54</v>
      </c>
      <c r="D40" s="40">
        <f t="shared" si="0"/>
        <v>62</v>
      </c>
      <c r="E40" s="40">
        <f t="shared" si="1"/>
        <v>3</v>
      </c>
      <c r="F40" s="40">
        <f t="shared" si="2"/>
        <v>0</v>
      </c>
      <c r="G40" s="61">
        <v>0.03</v>
      </c>
      <c r="H40" s="41">
        <v>0</v>
      </c>
      <c r="I40" s="38">
        <v>22</v>
      </c>
      <c r="J40" s="148">
        <v>140</v>
      </c>
      <c r="K40" s="9"/>
      <c r="L40" s="9"/>
      <c r="M40" s="15">
        <f t="shared" si="3"/>
        <v>62</v>
      </c>
    </row>
    <row r="41" spans="1:15" ht="13.5" x14ac:dyDescent="0.25">
      <c r="A41" s="39">
        <v>30</v>
      </c>
      <c r="B41" s="38">
        <v>74</v>
      </c>
      <c r="C41" s="38">
        <v>46</v>
      </c>
      <c r="D41" s="40">
        <f t="shared" si="0"/>
        <v>60</v>
      </c>
      <c r="E41" s="40">
        <f t="shared" si="1"/>
        <v>5</v>
      </c>
      <c r="F41" s="40">
        <f t="shared" si="2"/>
        <v>0</v>
      </c>
      <c r="G41" s="61">
        <v>0</v>
      </c>
      <c r="H41" s="41">
        <v>0</v>
      </c>
      <c r="I41" s="38">
        <v>20</v>
      </c>
      <c r="J41" s="148">
        <v>170</v>
      </c>
      <c r="K41" s="9"/>
      <c r="L41" s="9"/>
      <c r="M41" s="15">
        <f t="shared" si="3"/>
        <v>60</v>
      </c>
    </row>
    <row r="42" spans="1:15" ht="13.5" x14ac:dyDescent="0.25">
      <c r="A42" s="166">
        <v>31</v>
      </c>
      <c r="B42" s="153">
        <v>77</v>
      </c>
      <c r="C42" s="153">
        <v>45</v>
      </c>
      <c r="D42" s="167">
        <f t="shared" si="0"/>
        <v>61</v>
      </c>
      <c r="E42" s="167">
        <f t="shared" si="1"/>
        <v>4</v>
      </c>
      <c r="F42" s="167">
        <f t="shared" si="2"/>
        <v>0</v>
      </c>
      <c r="G42" s="151">
        <v>0</v>
      </c>
      <c r="H42" s="152">
        <v>0</v>
      </c>
      <c r="I42" s="153">
        <v>18</v>
      </c>
      <c r="J42" s="154">
        <v>320</v>
      </c>
      <c r="K42" s="9"/>
      <c r="L42" s="9"/>
      <c r="M42" s="15">
        <f t="shared" si="3"/>
        <v>61</v>
      </c>
    </row>
    <row r="43" spans="1:15" ht="13.5" x14ac:dyDescent="0.25">
      <c r="A43" s="39" t="s">
        <v>24</v>
      </c>
      <c r="B43" s="35" t="s">
        <v>25</v>
      </c>
      <c r="C43" s="35" t="s">
        <v>25</v>
      </c>
      <c r="D43" s="40">
        <f>SUM(D12:D42)</f>
        <v>1550</v>
      </c>
      <c r="E43" s="40">
        <f>SUM(E12:E42)</f>
        <v>468</v>
      </c>
      <c r="F43" s="40">
        <f>SUM(F12:F42)</f>
        <v>3</v>
      </c>
      <c r="G43" s="155">
        <f>SUM(G12:G42)</f>
        <v>0.91</v>
      </c>
      <c r="H43" s="41">
        <f>SUM(H12:H42)</f>
        <v>0</v>
      </c>
      <c r="I43" s="40" t="s">
        <v>25</v>
      </c>
      <c r="J43" s="156" t="s">
        <v>25</v>
      </c>
      <c r="K43" s="9"/>
      <c r="L43" s="9"/>
      <c r="M43" s="15">
        <f>IF(D43=0,65,D43)</f>
        <v>1550</v>
      </c>
      <c r="O43" s="170">
        <f>SUM(G12:G30)</f>
        <v>0.88</v>
      </c>
    </row>
    <row r="44" spans="1:15" ht="13.5" x14ac:dyDescent="0.25">
      <c r="A44" s="39" t="s">
        <v>26</v>
      </c>
      <c r="B44" s="35">
        <f>MAXA(B12:B42)</f>
        <v>79</v>
      </c>
      <c r="C44" s="35">
        <f>MINA(C12:C42)</f>
        <v>23</v>
      </c>
      <c r="D44" s="40">
        <f>(B44+C44)/2</f>
        <v>51</v>
      </c>
      <c r="E44" s="40">
        <f>IF(65-D44&gt;0,65-M44,0)</f>
        <v>65</v>
      </c>
      <c r="F44" s="40">
        <f>IF((D44)-65&lt;0,0,(D44)-65)</f>
        <v>0</v>
      </c>
      <c r="G44" s="155">
        <f>MAXA(G12:G42)</f>
        <v>0.88</v>
      </c>
      <c r="H44" s="41">
        <f>MAXA(H13:H42)</f>
        <v>0</v>
      </c>
      <c r="I44" s="35">
        <f>MAXA(I12:I42)</f>
        <v>33</v>
      </c>
      <c r="J44" s="147">
        <v>340</v>
      </c>
      <c r="K44" s="9"/>
      <c r="L44" s="9"/>
      <c r="M44" s="9"/>
    </row>
    <row r="45" spans="1:15" ht="13.5" x14ac:dyDescent="0.25">
      <c r="A45" s="39" t="s">
        <v>27</v>
      </c>
      <c r="B45" s="40">
        <f>IF(ISERROR(AVERAGEA(B12:B42)),"NO DATA",(AVERAGE(B12:B42)))</f>
        <v>59.774193548387096</v>
      </c>
      <c r="C45" s="40">
        <f>IF(ISERROR(AVERAGEA(C12:C42)),"NO DATA",(AVERAGE(C12:C42)))</f>
        <v>40.225806451612904</v>
      </c>
      <c r="D45" s="40">
        <f>IF(ISERROR(AVERAGEA(D12:D42)),"NO DATA",(AVERAGE(D12:D42)))</f>
        <v>50</v>
      </c>
      <c r="E45" s="40">
        <v>65</v>
      </c>
      <c r="F45" s="40">
        <f>IF((D45)-65&lt;0,0,(D45)-65)</f>
        <v>0</v>
      </c>
      <c r="G45" s="40">
        <f>IF(ISERROR(AVERAGEA(G12:G42)),"NO DATA",(AVERAGE(G12:G42)))</f>
        <v>2.9354838709677419E-2</v>
      </c>
      <c r="H45" s="41">
        <f>AVERAGEA(H12:H42)</f>
        <v>0</v>
      </c>
      <c r="I45" s="40">
        <f>IF(ISERROR(AVERAGEA(I12:I42)),"NO DATA",(AVERAGE(I12:I42)))</f>
        <v>19.548387096774192</v>
      </c>
      <c r="J45" s="156">
        <f>IF(ISERROR(AVERAGEA(J12:J42)),"NO DATA",(AVERAGE(J12:J42)))</f>
        <v>125.16129032258064</v>
      </c>
      <c r="K45" s="9"/>
      <c r="L45" s="9"/>
      <c r="M45" s="9"/>
    </row>
    <row r="46" spans="1:15" ht="13.5" x14ac:dyDescent="0.25">
      <c r="A46" s="39" t="s">
        <v>28</v>
      </c>
      <c r="B46" s="35">
        <v>91</v>
      </c>
      <c r="C46" s="35">
        <v>4</v>
      </c>
      <c r="D46" s="40">
        <v>53</v>
      </c>
      <c r="E46" s="40">
        <f>AVERAGEA(E13:E42)</f>
        <v>15.266666666666667</v>
      </c>
      <c r="F46" s="40">
        <f>AVERAGEA(F13:F42)</f>
        <v>0.1</v>
      </c>
      <c r="G46" s="155">
        <v>1.5</v>
      </c>
      <c r="H46" s="41">
        <v>0.3</v>
      </c>
      <c r="I46" s="35">
        <v>6</v>
      </c>
      <c r="J46" s="156">
        <v>360</v>
      </c>
      <c r="K46" s="9"/>
      <c r="L46" s="9"/>
      <c r="M46" s="9"/>
    </row>
    <row r="47" spans="1:15" ht="13.5" x14ac:dyDescent="0.25">
      <c r="A47" s="27" t="s">
        <v>29</v>
      </c>
      <c r="B47" s="34"/>
      <c r="C47" s="34"/>
      <c r="D47" s="145"/>
      <c r="E47" s="145"/>
      <c r="F47" s="145"/>
      <c r="G47" s="155">
        <f>(G43-G46)</f>
        <v>-0.59</v>
      </c>
      <c r="H47" s="34"/>
      <c r="I47" s="38"/>
      <c r="J47" s="29"/>
      <c r="K47" s="9"/>
      <c r="L47" s="9"/>
      <c r="M47" s="9"/>
    </row>
    <row r="48" spans="1:15" ht="13.5" x14ac:dyDescent="0.25">
      <c r="A48" s="158" t="s">
        <v>30</v>
      </c>
      <c r="B48" s="150"/>
      <c r="C48" s="150"/>
      <c r="D48" s="150"/>
      <c r="E48" s="150"/>
      <c r="F48" s="150"/>
      <c r="G48" s="150"/>
      <c r="H48" s="150"/>
      <c r="I48" s="150"/>
      <c r="J48" s="176"/>
      <c r="K48" s="9"/>
      <c r="L48" s="9"/>
      <c r="M48" s="9"/>
    </row>
    <row r="49" spans="1:13" ht="14.25" thickBot="1" x14ac:dyDescent="0.3">
      <c r="A49" s="159"/>
      <c r="B49" s="160"/>
      <c r="C49" s="160"/>
      <c r="D49" s="160"/>
      <c r="E49" s="160"/>
      <c r="F49" s="160"/>
      <c r="G49" s="160"/>
      <c r="H49" s="160"/>
      <c r="I49" s="160"/>
      <c r="J49" s="52"/>
      <c r="K49" s="9"/>
      <c r="L49" s="9"/>
      <c r="M49" s="9"/>
    </row>
    <row r="50" spans="1:13" ht="13.5" x14ac:dyDescent="0.25">
      <c r="A50" s="27"/>
      <c r="B50" s="34"/>
      <c r="C50" s="34"/>
      <c r="D50" s="34"/>
      <c r="E50" s="34"/>
      <c r="F50" s="34"/>
      <c r="G50" s="34"/>
      <c r="H50" s="34"/>
      <c r="I50" s="34"/>
      <c r="J50" s="29"/>
      <c r="K50" s="9"/>
      <c r="L50" s="9"/>
      <c r="M50" s="9"/>
    </row>
    <row r="51" spans="1:13" ht="13.5" thickBot="1" x14ac:dyDescent="0.25">
      <c r="A51" s="159"/>
      <c r="B51" s="160"/>
      <c r="C51" s="160"/>
      <c r="D51" s="160"/>
      <c r="E51" s="160"/>
      <c r="F51" s="160"/>
      <c r="G51" s="160"/>
      <c r="H51" s="160"/>
      <c r="I51" s="160"/>
      <c r="J51" s="52"/>
    </row>
    <row r="53" spans="1:13" x14ac:dyDescent="0.2">
      <c r="A53" s="203"/>
      <c r="B53" s="227" t="s">
        <v>31</v>
      </c>
      <c r="C53" s="227"/>
      <c r="D53" s="227"/>
      <c r="E53" s="227"/>
      <c r="F53" s="227"/>
      <c r="G53" s="227" t="s">
        <v>72</v>
      </c>
      <c r="H53" s="227"/>
      <c r="I53" s="227"/>
      <c r="J53" s="203" t="s">
        <v>73</v>
      </c>
    </row>
    <row r="54" spans="1:13" ht="25.5" x14ac:dyDescent="0.2">
      <c r="A54" s="203"/>
      <c r="B54" s="205" t="s">
        <v>66</v>
      </c>
      <c r="C54" s="205" t="s">
        <v>67</v>
      </c>
      <c r="D54" s="203" t="s">
        <v>16</v>
      </c>
      <c r="E54" s="205" t="s">
        <v>69</v>
      </c>
      <c r="F54" s="205" t="s">
        <v>68</v>
      </c>
      <c r="G54" s="205" t="s">
        <v>12</v>
      </c>
      <c r="H54" s="203" t="s">
        <v>16</v>
      </c>
      <c r="I54" s="205" t="s">
        <v>71</v>
      </c>
      <c r="J54" s="205" t="s">
        <v>70</v>
      </c>
    </row>
    <row r="55" spans="1:13" ht="25.5" x14ac:dyDescent="0.2">
      <c r="A55" s="205" t="s">
        <v>64</v>
      </c>
      <c r="B55" s="206">
        <f>MAXA(B12:B42)</f>
        <v>79</v>
      </c>
      <c r="C55" s="207">
        <v>60</v>
      </c>
      <c r="D55" s="207">
        <f>IF(ISERROR(AVERAGEA(D12:D42)),"NO DATA",(AVERAGE(D12:D42)))</f>
        <v>50</v>
      </c>
      <c r="E55" s="207">
        <f>IF(ISERROR(AVERAGEA(C12:C42)),"NO DATA",(AVERAGE(C12:C42)))</f>
        <v>40.225806451612904</v>
      </c>
      <c r="F55" s="206">
        <f>MINA(C12:C42)</f>
        <v>23</v>
      </c>
      <c r="G55" s="155">
        <f>SUM(G11:G42)</f>
        <v>0.91</v>
      </c>
      <c r="H55" s="155">
        <f>AVERAGE(G11:G42)</f>
        <v>2.9354838709677419E-2</v>
      </c>
      <c r="I55" s="208">
        <f>MAXA(G12:G42)</f>
        <v>0.88</v>
      </c>
      <c r="J55" s="206">
        <f>MAXA(I12:I42)</f>
        <v>33</v>
      </c>
    </row>
    <row r="56" spans="1:13" x14ac:dyDescent="0.2">
      <c r="A56" s="203" t="s">
        <v>65</v>
      </c>
      <c r="B56" s="204">
        <v>91</v>
      </c>
      <c r="C56" s="204">
        <v>66</v>
      </c>
      <c r="D56" s="204">
        <v>53</v>
      </c>
      <c r="E56" s="204">
        <v>42</v>
      </c>
      <c r="F56" s="204">
        <v>4</v>
      </c>
      <c r="G56" s="204">
        <v>9</v>
      </c>
      <c r="H56" s="204">
        <v>1.5</v>
      </c>
      <c r="I56" s="204">
        <v>3.5</v>
      </c>
      <c r="J56" s="204">
        <v>57</v>
      </c>
    </row>
  </sheetData>
  <mergeCells count="2">
    <mergeCell ref="G53:I53"/>
    <mergeCell ref="B53:F53"/>
  </mergeCells>
  <phoneticPr fontId="0" type="noConversion"/>
  <conditionalFormatting sqref="B55">
    <cfRule type="cellIs" dxfId="102" priority="1" stopIfTrue="1" operator="greaterThan">
      <formula>$B$56</formula>
    </cfRule>
  </conditionalFormatting>
  <conditionalFormatting sqref="C55">
    <cfRule type="cellIs" dxfId="101" priority="2" stopIfTrue="1" operator="greaterThan">
      <formula>$C$56</formula>
    </cfRule>
  </conditionalFormatting>
  <conditionalFormatting sqref="I55">
    <cfRule type="cellIs" dxfId="100" priority="3" stopIfTrue="1" operator="greaterThan">
      <formula>$I$56</formula>
    </cfRule>
  </conditionalFormatting>
  <conditionalFormatting sqref="J55">
    <cfRule type="cellIs" dxfId="99" priority="4" stopIfTrue="1" operator="greaterThan">
      <formula>$J$56</formula>
    </cfRule>
  </conditionalFormatting>
  <conditionalFormatting sqref="E55">
    <cfRule type="cellIs" dxfId="98" priority="5" stopIfTrue="1" operator="lessThan">
      <formula>$E$56</formula>
    </cfRule>
  </conditionalFormatting>
  <conditionalFormatting sqref="F55">
    <cfRule type="cellIs" dxfId="97" priority="6" stopIfTrue="1" operator="lessThan">
      <formula>$F$56</formula>
    </cfRule>
  </conditionalFormatting>
  <conditionalFormatting sqref="D55">
    <cfRule type="cellIs" dxfId="96" priority="7" stopIfTrue="1" operator="lessThanOrEqual">
      <formula>$D$56</formula>
    </cfRule>
    <cfRule type="cellIs" dxfId="95" priority="8" stopIfTrue="1" operator="greaterThan">
      <formula>$D$56</formula>
    </cfRule>
  </conditionalFormatting>
  <pageMargins left="1.22" right="0.25" top="1" bottom="1" header="0.5" footer="0.5"/>
  <pageSetup scale="8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DC6B-3BC4-4901-B8EB-66AA69DA8AC2}">
  <sheetPr codeName="Sheet2">
    <pageSetUpPr fitToPage="1"/>
  </sheetPr>
  <dimension ref="A1:M55"/>
  <sheetViews>
    <sheetView topLeftCell="A14" zoomScaleNormal="100" workbookViewId="0">
      <selection activeCell="E24" sqref="E24"/>
    </sheetView>
  </sheetViews>
  <sheetFormatPr defaultRowHeight="12.75" x14ac:dyDescent="0.2"/>
  <cols>
    <col min="5" max="6" width="11" bestFit="1" customWidth="1"/>
    <col min="7" max="7" width="11.28515625" bestFit="1" customWidth="1"/>
  </cols>
  <sheetData>
    <row r="1" spans="1:13" ht="15.75" x14ac:dyDescent="0.25">
      <c r="A1" s="75" t="s">
        <v>79</v>
      </c>
      <c r="B1" s="65"/>
      <c r="C1" s="76"/>
      <c r="D1" s="77"/>
      <c r="E1" s="77"/>
      <c r="F1" s="77"/>
      <c r="G1" s="77"/>
      <c r="H1" s="77"/>
      <c r="I1" s="77"/>
      <c r="J1" s="78"/>
      <c r="K1" s="4"/>
      <c r="L1" s="4"/>
      <c r="M1" s="4"/>
    </row>
    <row r="2" spans="1:13" ht="15.75" x14ac:dyDescent="0.25">
      <c r="A2" s="67" t="s">
        <v>0</v>
      </c>
      <c r="B2" s="63"/>
      <c r="C2" s="68"/>
      <c r="D2" s="69"/>
      <c r="E2" s="69"/>
      <c r="F2" s="69"/>
      <c r="G2" s="69"/>
      <c r="H2" s="69"/>
      <c r="I2" s="63"/>
      <c r="J2" s="70"/>
      <c r="K2" s="4"/>
      <c r="L2" s="4"/>
      <c r="M2" s="4"/>
    </row>
    <row r="3" spans="1:13" ht="15.75" x14ac:dyDescent="0.25">
      <c r="A3" s="71" t="s">
        <v>1</v>
      </c>
      <c r="B3" s="63"/>
      <c r="C3" s="68"/>
      <c r="D3" s="69"/>
      <c r="E3" s="69"/>
      <c r="F3" s="72"/>
      <c r="G3" s="69"/>
      <c r="H3" s="69"/>
      <c r="I3" s="63"/>
      <c r="J3" s="70"/>
      <c r="K3" s="4"/>
      <c r="L3" s="4"/>
      <c r="M3" s="4"/>
    </row>
    <row r="4" spans="1:13" ht="15.75" x14ac:dyDescent="0.25">
      <c r="A4" s="73" t="s">
        <v>82</v>
      </c>
      <c r="B4" s="69"/>
      <c r="C4" s="68"/>
      <c r="D4" s="69"/>
      <c r="E4" s="69"/>
      <c r="F4" s="69"/>
      <c r="G4" s="69"/>
      <c r="H4" s="69"/>
      <c r="I4" s="69"/>
      <c r="J4" s="70"/>
      <c r="K4" s="4"/>
      <c r="L4" s="4"/>
      <c r="M4" s="4"/>
    </row>
    <row r="5" spans="1:13" ht="16.5" thickBot="1" x14ac:dyDescent="0.3">
      <c r="A5" s="79"/>
      <c r="B5" s="80"/>
      <c r="C5" s="80"/>
      <c r="D5" s="80"/>
      <c r="E5" s="80"/>
      <c r="F5" s="80"/>
      <c r="G5" s="80"/>
      <c r="H5" s="80"/>
      <c r="I5" s="80"/>
      <c r="J5" s="81"/>
      <c r="K5" s="58"/>
      <c r="L5" s="58"/>
      <c r="M5" s="4"/>
    </row>
    <row r="6" spans="1:13" ht="13.5" x14ac:dyDescent="0.25">
      <c r="A6" s="82"/>
      <c r="B6" s="83" t="s">
        <v>2</v>
      </c>
      <c r="C6" s="84"/>
      <c r="D6" s="84"/>
      <c r="E6" s="84"/>
      <c r="F6" s="84"/>
      <c r="G6" s="85" t="s">
        <v>3</v>
      </c>
      <c r="H6" s="84"/>
      <c r="I6" s="83" t="s">
        <v>4</v>
      </c>
      <c r="J6" s="86"/>
      <c r="K6" s="9"/>
      <c r="L6" s="9"/>
      <c r="M6" s="9"/>
    </row>
    <row r="7" spans="1:13" ht="13.5" x14ac:dyDescent="0.25">
      <c r="A7" s="82"/>
      <c r="B7" s="84"/>
      <c r="C7" s="84"/>
      <c r="D7" s="85" t="s">
        <v>5</v>
      </c>
      <c r="E7" s="84"/>
      <c r="F7" s="84"/>
      <c r="G7" s="83" t="s">
        <v>6</v>
      </c>
      <c r="H7" s="143" t="s">
        <v>7</v>
      </c>
      <c r="I7" s="84"/>
      <c r="J7" s="86"/>
      <c r="K7" s="9"/>
      <c r="L7" s="9"/>
      <c r="M7" s="9"/>
    </row>
    <row r="8" spans="1:13" ht="13.5" x14ac:dyDescent="0.25">
      <c r="A8" s="82"/>
      <c r="B8" s="85" t="s">
        <v>8</v>
      </c>
      <c r="C8" s="84"/>
      <c r="D8" s="85" t="s">
        <v>9</v>
      </c>
      <c r="E8" s="84"/>
      <c r="F8" s="84"/>
      <c r="G8" s="83" t="s">
        <v>10</v>
      </c>
      <c r="H8" s="143" t="s">
        <v>11</v>
      </c>
      <c r="I8" s="143" t="s">
        <v>12</v>
      </c>
      <c r="J8" s="177" t="s">
        <v>13</v>
      </c>
      <c r="K8" s="9"/>
      <c r="L8" s="9"/>
      <c r="M8" s="9"/>
    </row>
    <row r="9" spans="1:13" ht="13.5" x14ac:dyDescent="0.25">
      <c r="A9" s="178" t="s">
        <v>14</v>
      </c>
      <c r="B9" s="143" t="s">
        <v>12</v>
      </c>
      <c r="C9" s="143" t="s">
        <v>15</v>
      </c>
      <c r="D9" s="143" t="s">
        <v>16</v>
      </c>
      <c r="E9" s="143" t="s">
        <v>17</v>
      </c>
      <c r="F9" s="143" t="s">
        <v>18</v>
      </c>
      <c r="G9" s="83" t="s">
        <v>19</v>
      </c>
      <c r="H9" s="143" t="s">
        <v>20</v>
      </c>
      <c r="I9" s="143" t="s">
        <v>21</v>
      </c>
      <c r="J9" s="92" t="s">
        <v>22</v>
      </c>
      <c r="K9" s="59" t="s">
        <v>23</v>
      </c>
      <c r="L9" s="9"/>
      <c r="M9" s="9"/>
    </row>
    <row r="10" spans="1:13" ht="14.25" thickBot="1" x14ac:dyDescent="0.3">
      <c r="A10" s="180"/>
      <c r="B10" s="32"/>
      <c r="C10" s="32"/>
      <c r="D10" s="32"/>
      <c r="E10" s="32"/>
      <c r="F10" s="32"/>
      <c r="G10" s="32"/>
      <c r="H10" s="32"/>
      <c r="I10" s="32"/>
      <c r="J10" s="144"/>
      <c r="K10" s="60"/>
      <c r="L10" s="59"/>
      <c r="M10" s="9"/>
    </row>
    <row r="11" spans="1:13" ht="13.5" x14ac:dyDescent="0.25">
      <c r="A11" s="39">
        <v>1</v>
      </c>
      <c r="B11" s="35">
        <v>78</v>
      </c>
      <c r="C11" s="35">
        <v>37</v>
      </c>
      <c r="D11" s="40">
        <f t="shared" ref="D11:D40" si="0">(B11+C11)/2</f>
        <v>57.5</v>
      </c>
      <c r="E11" s="40">
        <f t="shared" ref="E11:E40" si="1">IF(65-D11&gt;0,65-M11,0)</f>
        <v>7.5</v>
      </c>
      <c r="F11" s="40">
        <f t="shared" ref="F11:F40" si="2">IF((D11)-65&lt;0,0,(D11)-65)</f>
        <v>0</v>
      </c>
      <c r="G11" s="146">
        <v>0</v>
      </c>
      <c r="H11" s="41">
        <v>0</v>
      </c>
      <c r="I11" s="35">
        <v>14</v>
      </c>
      <c r="J11" s="147">
        <v>180</v>
      </c>
      <c r="K11" s="16"/>
      <c r="L11" s="9"/>
      <c r="M11" s="15">
        <f t="shared" ref="M11:M39" si="3">IF(D11=0,65,D11)</f>
        <v>57.5</v>
      </c>
    </row>
    <row r="12" spans="1:13" ht="13.5" x14ac:dyDescent="0.25">
      <c r="A12" s="39">
        <v>2</v>
      </c>
      <c r="B12" s="35">
        <v>83</v>
      </c>
      <c r="C12" s="35">
        <v>42</v>
      </c>
      <c r="D12" s="40">
        <f t="shared" si="0"/>
        <v>62.5</v>
      </c>
      <c r="E12" s="40">
        <f t="shared" si="1"/>
        <v>2.5</v>
      </c>
      <c r="F12" s="40">
        <f t="shared" si="2"/>
        <v>0</v>
      </c>
      <c r="G12" s="61">
        <v>0</v>
      </c>
      <c r="H12" s="41">
        <v>0</v>
      </c>
      <c r="I12" s="35">
        <v>18</v>
      </c>
      <c r="J12" s="147">
        <v>190</v>
      </c>
      <c r="K12" s="9"/>
      <c r="L12" s="9"/>
      <c r="M12" s="15">
        <f t="shared" si="3"/>
        <v>62.5</v>
      </c>
    </row>
    <row r="13" spans="1:13" ht="13.5" x14ac:dyDescent="0.25">
      <c r="A13" s="39">
        <v>3</v>
      </c>
      <c r="B13" s="35">
        <v>87</v>
      </c>
      <c r="C13" s="35">
        <v>55</v>
      </c>
      <c r="D13" s="40">
        <f t="shared" si="0"/>
        <v>71</v>
      </c>
      <c r="E13" s="40">
        <f t="shared" si="1"/>
        <v>0</v>
      </c>
      <c r="F13" s="40">
        <f t="shared" si="2"/>
        <v>6</v>
      </c>
      <c r="G13" s="61">
        <v>0</v>
      </c>
      <c r="H13" s="41">
        <v>0</v>
      </c>
      <c r="I13" s="35">
        <v>18</v>
      </c>
      <c r="J13" s="147">
        <v>150</v>
      </c>
      <c r="K13" s="9"/>
      <c r="L13" s="9"/>
      <c r="M13" s="15">
        <f t="shared" si="3"/>
        <v>71</v>
      </c>
    </row>
    <row r="14" spans="1:13" ht="13.5" x14ac:dyDescent="0.25">
      <c r="A14" s="39">
        <v>4</v>
      </c>
      <c r="B14" s="35">
        <v>85</v>
      </c>
      <c r="C14" s="35">
        <v>64</v>
      </c>
      <c r="D14" s="40">
        <f t="shared" si="0"/>
        <v>74.5</v>
      </c>
      <c r="E14" s="40">
        <f t="shared" si="1"/>
        <v>0</v>
      </c>
      <c r="F14" s="40">
        <f t="shared" si="2"/>
        <v>9.5</v>
      </c>
      <c r="G14" s="61">
        <v>0</v>
      </c>
      <c r="H14" s="41">
        <v>0.2</v>
      </c>
      <c r="I14" s="35">
        <v>20</v>
      </c>
      <c r="J14" s="147">
        <v>120</v>
      </c>
      <c r="K14" s="9"/>
      <c r="L14" s="9"/>
      <c r="M14" s="15">
        <f t="shared" si="3"/>
        <v>74.5</v>
      </c>
    </row>
    <row r="15" spans="1:13" ht="13.5" x14ac:dyDescent="0.25">
      <c r="A15" s="39">
        <v>5</v>
      </c>
      <c r="B15" s="35">
        <v>81</v>
      </c>
      <c r="C15" s="35">
        <v>65</v>
      </c>
      <c r="D15" s="40">
        <f t="shared" si="0"/>
        <v>73</v>
      </c>
      <c r="E15" s="40">
        <f t="shared" si="1"/>
        <v>0</v>
      </c>
      <c r="F15" s="40">
        <f t="shared" si="2"/>
        <v>8</v>
      </c>
      <c r="G15" s="61">
        <v>0</v>
      </c>
      <c r="H15" s="41">
        <v>0</v>
      </c>
      <c r="I15" s="35">
        <v>13</v>
      </c>
      <c r="J15" s="147">
        <v>150</v>
      </c>
      <c r="K15" s="9"/>
      <c r="L15" s="9"/>
      <c r="M15" s="15">
        <f t="shared" si="3"/>
        <v>73</v>
      </c>
    </row>
    <row r="16" spans="1:13" ht="13.5" x14ac:dyDescent="0.25">
      <c r="A16" s="39">
        <v>6</v>
      </c>
      <c r="B16" s="35">
        <v>86</v>
      </c>
      <c r="C16" s="35">
        <v>64</v>
      </c>
      <c r="D16" s="40">
        <f t="shared" si="0"/>
        <v>75</v>
      </c>
      <c r="E16" s="40">
        <f t="shared" si="1"/>
        <v>0</v>
      </c>
      <c r="F16" s="40">
        <f t="shared" si="2"/>
        <v>10</v>
      </c>
      <c r="G16" s="61">
        <v>0</v>
      </c>
      <c r="H16" s="41">
        <v>0</v>
      </c>
      <c r="I16" s="35">
        <v>17</v>
      </c>
      <c r="J16" s="156">
        <v>140</v>
      </c>
      <c r="K16" s="9"/>
      <c r="L16" s="9"/>
      <c r="M16" s="15">
        <f t="shared" si="3"/>
        <v>75</v>
      </c>
    </row>
    <row r="17" spans="1:13" ht="13.5" x14ac:dyDescent="0.25">
      <c r="A17" s="39">
        <v>7</v>
      </c>
      <c r="B17" s="38">
        <v>86</v>
      </c>
      <c r="C17" s="38">
        <v>69</v>
      </c>
      <c r="D17" s="40">
        <f t="shared" si="0"/>
        <v>77.5</v>
      </c>
      <c r="E17" s="40">
        <f t="shared" si="1"/>
        <v>0</v>
      </c>
      <c r="F17" s="40">
        <f t="shared" si="2"/>
        <v>12.5</v>
      </c>
      <c r="G17" s="61">
        <v>0</v>
      </c>
      <c r="H17" s="41">
        <v>0</v>
      </c>
      <c r="I17" s="38">
        <v>22</v>
      </c>
      <c r="J17" s="149">
        <v>130</v>
      </c>
      <c r="K17" s="9"/>
      <c r="L17" s="9"/>
      <c r="M17" s="15">
        <f t="shared" si="3"/>
        <v>77.5</v>
      </c>
    </row>
    <row r="18" spans="1:13" ht="13.5" x14ac:dyDescent="0.25">
      <c r="A18" s="39">
        <v>8</v>
      </c>
      <c r="B18" s="38">
        <v>91</v>
      </c>
      <c r="C18" s="38">
        <v>68</v>
      </c>
      <c r="D18" s="40">
        <f t="shared" si="0"/>
        <v>79.5</v>
      </c>
      <c r="E18" s="40">
        <f t="shared" si="1"/>
        <v>0</v>
      </c>
      <c r="F18" s="40">
        <f t="shared" si="2"/>
        <v>14.5</v>
      </c>
      <c r="G18" s="61">
        <v>0</v>
      </c>
      <c r="H18" s="41">
        <v>0</v>
      </c>
      <c r="I18" s="38">
        <v>23</v>
      </c>
      <c r="J18" s="149">
        <v>140</v>
      </c>
      <c r="K18" s="9"/>
      <c r="L18" s="9"/>
      <c r="M18" s="15">
        <f t="shared" si="3"/>
        <v>79.5</v>
      </c>
    </row>
    <row r="19" spans="1:13" ht="13.5" x14ac:dyDescent="0.25">
      <c r="A19" s="39">
        <v>9</v>
      </c>
      <c r="B19" s="38">
        <v>72</v>
      </c>
      <c r="C19" s="38">
        <v>57</v>
      </c>
      <c r="D19" s="40">
        <f t="shared" si="0"/>
        <v>64.5</v>
      </c>
      <c r="E19" s="40">
        <f t="shared" si="1"/>
        <v>0.5</v>
      </c>
      <c r="F19" s="40">
        <f t="shared" si="2"/>
        <v>0</v>
      </c>
      <c r="G19" s="61">
        <v>0</v>
      </c>
      <c r="H19" s="41">
        <v>0</v>
      </c>
      <c r="I19" s="38">
        <v>19</v>
      </c>
      <c r="J19" s="148">
        <v>30</v>
      </c>
      <c r="K19" s="9"/>
      <c r="L19" s="9"/>
      <c r="M19" s="15">
        <f t="shared" si="3"/>
        <v>64.5</v>
      </c>
    </row>
    <row r="20" spans="1:13" ht="13.5" x14ac:dyDescent="0.25">
      <c r="A20" s="39">
        <v>10</v>
      </c>
      <c r="B20" s="38">
        <v>57</v>
      </c>
      <c r="C20" s="38">
        <v>50</v>
      </c>
      <c r="D20" s="40">
        <f t="shared" si="0"/>
        <v>53.5</v>
      </c>
      <c r="E20" s="40">
        <f t="shared" si="1"/>
        <v>11.5</v>
      </c>
      <c r="F20" s="40">
        <f t="shared" si="2"/>
        <v>0</v>
      </c>
      <c r="G20" s="61">
        <v>0</v>
      </c>
      <c r="H20" s="41">
        <v>0</v>
      </c>
      <c r="I20" s="38">
        <v>17</v>
      </c>
      <c r="J20" s="148">
        <v>30</v>
      </c>
      <c r="K20" s="9"/>
      <c r="L20" s="9"/>
      <c r="M20" s="15">
        <f t="shared" si="3"/>
        <v>53.5</v>
      </c>
    </row>
    <row r="21" spans="1:13" ht="13.5" x14ac:dyDescent="0.25">
      <c r="A21" s="39">
        <v>11</v>
      </c>
      <c r="B21" s="38">
        <v>60</v>
      </c>
      <c r="C21" s="38">
        <v>51</v>
      </c>
      <c r="D21" s="40">
        <f t="shared" si="0"/>
        <v>55.5</v>
      </c>
      <c r="E21" s="40">
        <f t="shared" si="1"/>
        <v>9.5</v>
      </c>
      <c r="F21" s="40">
        <f t="shared" si="2"/>
        <v>0</v>
      </c>
      <c r="G21" s="61">
        <v>0.24</v>
      </c>
      <c r="H21" s="41">
        <v>0</v>
      </c>
      <c r="I21" s="38">
        <v>19</v>
      </c>
      <c r="J21" s="148">
        <v>50</v>
      </c>
      <c r="K21" s="9"/>
      <c r="L21" s="9"/>
      <c r="M21" s="15">
        <f t="shared" si="3"/>
        <v>55.5</v>
      </c>
    </row>
    <row r="22" spans="1:13" ht="13.5" x14ac:dyDescent="0.25">
      <c r="A22" s="39">
        <v>12</v>
      </c>
      <c r="B22" s="38">
        <v>71</v>
      </c>
      <c r="C22" s="38">
        <v>45</v>
      </c>
      <c r="D22" s="40">
        <f t="shared" si="0"/>
        <v>58</v>
      </c>
      <c r="E22" s="40">
        <f t="shared" si="1"/>
        <v>7</v>
      </c>
      <c r="F22" s="40">
        <f t="shared" si="2"/>
        <v>0</v>
      </c>
      <c r="G22" s="61">
        <v>0.08</v>
      </c>
      <c r="H22" s="41">
        <v>0</v>
      </c>
      <c r="I22" s="38">
        <v>26</v>
      </c>
      <c r="J22" s="148">
        <v>20</v>
      </c>
      <c r="K22" s="9"/>
      <c r="L22" s="9"/>
      <c r="M22" s="15">
        <f t="shared" si="3"/>
        <v>58</v>
      </c>
    </row>
    <row r="23" spans="1:13" ht="13.5" x14ac:dyDescent="0.25">
      <c r="A23" s="39">
        <v>13</v>
      </c>
      <c r="B23" s="38">
        <v>51</v>
      </c>
      <c r="C23" s="38">
        <v>39</v>
      </c>
      <c r="D23" s="40">
        <f t="shared" si="0"/>
        <v>45</v>
      </c>
      <c r="E23" s="40">
        <f t="shared" si="1"/>
        <v>20</v>
      </c>
      <c r="F23" s="40">
        <f t="shared" si="2"/>
        <v>0</v>
      </c>
      <c r="G23" s="61">
        <v>0</v>
      </c>
      <c r="H23" s="41">
        <v>0</v>
      </c>
      <c r="I23" s="38">
        <v>25</v>
      </c>
      <c r="J23" s="148">
        <v>20</v>
      </c>
      <c r="K23" s="9"/>
      <c r="L23" s="9"/>
      <c r="M23" s="15">
        <f t="shared" si="3"/>
        <v>45</v>
      </c>
    </row>
    <row r="24" spans="1:13" ht="13.5" x14ac:dyDescent="0.25">
      <c r="A24" s="39">
        <v>14</v>
      </c>
      <c r="B24" s="38">
        <v>50</v>
      </c>
      <c r="C24" s="38">
        <v>38</v>
      </c>
      <c r="D24" s="40">
        <f t="shared" si="0"/>
        <v>44</v>
      </c>
      <c r="E24" s="40">
        <f t="shared" si="1"/>
        <v>21</v>
      </c>
      <c r="F24" s="40">
        <f t="shared" si="2"/>
        <v>0</v>
      </c>
      <c r="G24" s="61">
        <v>0</v>
      </c>
      <c r="H24" s="41">
        <v>0</v>
      </c>
      <c r="I24" s="38">
        <v>14</v>
      </c>
      <c r="J24" s="148">
        <v>360</v>
      </c>
      <c r="K24" s="9"/>
      <c r="L24" s="9"/>
      <c r="M24" s="15">
        <f t="shared" si="3"/>
        <v>44</v>
      </c>
    </row>
    <row r="25" spans="1:13" ht="13.5" x14ac:dyDescent="0.25">
      <c r="A25" s="39">
        <v>15</v>
      </c>
      <c r="B25" s="38">
        <v>72</v>
      </c>
      <c r="C25" s="38">
        <v>49</v>
      </c>
      <c r="D25" s="40">
        <f t="shared" si="0"/>
        <v>60.5</v>
      </c>
      <c r="E25" s="40">
        <f t="shared" si="1"/>
        <v>4.5</v>
      </c>
      <c r="F25" s="40">
        <f t="shared" si="2"/>
        <v>0</v>
      </c>
      <c r="G25" s="61">
        <v>0.01</v>
      </c>
      <c r="H25" s="41">
        <v>0</v>
      </c>
      <c r="I25" s="38">
        <v>15</v>
      </c>
      <c r="J25" s="148">
        <v>360</v>
      </c>
      <c r="K25" s="9"/>
      <c r="L25" s="9"/>
      <c r="M25" s="15">
        <f t="shared" si="3"/>
        <v>60.5</v>
      </c>
    </row>
    <row r="26" spans="1:13" ht="13.5" x14ac:dyDescent="0.25">
      <c r="A26" s="39">
        <v>16</v>
      </c>
      <c r="B26" s="38">
        <v>62</v>
      </c>
      <c r="C26" s="38">
        <v>41</v>
      </c>
      <c r="D26" s="40">
        <f t="shared" si="0"/>
        <v>51.5</v>
      </c>
      <c r="E26" s="40">
        <f t="shared" si="1"/>
        <v>13.5</v>
      </c>
      <c r="F26" s="40">
        <f t="shared" si="2"/>
        <v>0</v>
      </c>
      <c r="G26" s="61">
        <v>0</v>
      </c>
      <c r="H26" s="41">
        <v>0</v>
      </c>
      <c r="I26" s="38">
        <v>26</v>
      </c>
      <c r="J26" s="148">
        <v>10</v>
      </c>
      <c r="K26" s="9"/>
      <c r="L26" s="9"/>
      <c r="M26" s="15">
        <f t="shared" si="3"/>
        <v>51.5</v>
      </c>
    </row>
    <row r="27" spans="1:13" ht="13.5" x14ac:dyDescent="0.25">
      <c r="A27" s="39">
        <v>17</v>
      </c>
      <c r="B27" s="38">
        <v>69</v>
      </c>
      <c r="C27" s="38">
        <v>37</v>
      </c>
      <c r="D27" s="40">
        <f t="shared" si="0"/>
        <v>53</v>
      </c>
      <c r="E27" s="40">
        <f t="shared" si="1"/>
        <v>12</v>
      </c>
      <c r="F27" s="40">
        <f t="shared" si="2"/>
        <v>0</v>
      </c>
      <c r="G27" s="171">
        <v>0</v>
      </c>
      <c r="H27" s="41">
        <v>0</v>
      </c>
      <c r="I27" s="38">
        <v>20</v>
      </c>
      <c r="J27" s="148">
        <v>150</v>
      </c>
      <c r="K27" s="9"/>
      <c r="L27" s="9"/>
      <c r="M27" s="15">
        <f t="shared" si="3"/>
        <v>53</v>
      </c>
    </row>
    <row r="28" spans="1:13" ht="13.5" x14ac:dyDescent="0.25">
      <c r="A28" s="39">
        <v>18</v>
      </c>
      <c r="B28" s="38">
        <v>71</v>
      </c>
      <c r="C28" s="38">
        <v>35</v>
      </c>
      <c r="D28" s="40">
        <f t="shared" si="0"/>
        <v>53</v>
      </c>
      <c r="E28" s="40">
        <f t="shared" si="1"/>
        <v>12</v>
      </c>
      <c r="F28" s="40">
        <f t="shared" si="2"/>
        <v>0</v>
      </c>
      <c r="G28" s="61">
        <v>0</v>
      </c>
      <c r="H28" s="41">
        <v>0</v>
      </c>
      <c r="I28" s="38">
        <v>32</v>
      </c>
      <c r="J28" s="148">
        <v>10</v>
      </c>
      <c r="K28" s="9"/>
      <c r="L28" s="9"/>
      <c r="M28" s="15">
        <f t="shared" si="3"/>
        <v>53</v>
      </c>
    </row>
    <row r="29" spans="1:13" ht="13.5" x14ac:dyDescent="0.25">
      <c r="A29" s="39">
        <v>19</v>
      </c>
      <c r="B29" s="38">
        <v>39</v>
      </c>
      <c r="C29" s="38">
        <v>27</v>
      </c>
      <c r="D29" s="40">
        <f t="shared" si="0"/>
        <v>33</v>
      </c>
      <c r="E29" s="40">
        <f t="shared" si="1"/>
        <v>32</v>
      </c>
      <c r="F29" s="40">
        <f t="shared" si="2"/>
        <v>0</v>
      </c>
      <c r="G29" s="61">
        <v>0</v>
      </c>
      <c r="H29" s="41">
        <v>0</v>
      </c>
      <c r="I29" s="38">
        <v>33</v>
      </c>
      <c r="J29" s="148">
        <v>360</v>
      </c>
      <c r="K29" s="9"/>
      <c r="L29" s="9"/>
      <c r="M29" s="15">
        <f t="shared" si="3"/>
        <v>33</v>
      </c>
    </row>
    <row r="30" spans="1:13" ht="13.5" x14ac:dyDescent="0.25">
      <c r="A30" s="39">
        <v>20</v>
      </c>
      <c r="B30" s="38">
        <v>38</v>
      </c>
      <c r="C30" s="38">
        <v>23</v>
      </c>
      <c r="D30" s="40">
        <f t="shared" si="0"/>
        <v>30.5</v>
      </c>
      <c r="E30" s="40">
        <f t="shared" si="1"/>
        <v>34.5</v>
      </c>
      <c r="F30" s="40">
        <f t="shared" si="2"/>
        <v>0</v>
      </c>
      <c r="G30" s="61">
        <v>0</v>
      </c>
      <c r="H30" s="41">
        <v>0</v>
      </c>
      <c r="I30" s="226">
        <v>19</v>
      </c>
      <c r="J30" s="149">
        <v>20</v>
      </c>
      <c r="K30" s="9"/>
      <c r="L30" s="9"/>
      <c r="M30" s="15">
        <f t="shared" si="3"/>
        <v>30.5</v>
      </c>
    </row>
    <row r="31" spans="1:13" ht="13.5" x14ac:dyDescent="0.25">
      <c r="A31" s="39">
        <v>21</v>
      </c>
      <c r="B31" s="38">
        <v>41</v>
      </c>
      <c r="C31" s="38">
        <v>33</v>
      </c>
      <c r="D31" s="40">
        <f t="shared" si="0"/>
        <v>37</v>
      </c>
      <c r="E31" s="40">
        <f t="shared" si="1"/>
        <v>28</v>
      </c>
      <c r="F31" s="40">
        <f t="shared" si="2"/>
        <v>0</v>
      </c>
      <c r="G31" s="61">
        <v>0</v>
      </c>
      <c r="H31" s="41">
        <v>0</v>
      </c>
      <c r="I31" s="38">
        <v>16</v>
      </c>
      <c r="J31" s="148">
        <v>40</v>
      </c>
      <c r="K31" s="9"/>
      <c r="L31" s="9"/>
      <c r="M31" s="15">
        <f t="shared" si="3"/>
        <v>37</v>
      </c>
    </row>
    <row r="32" spans="1:13" ht="13.5" x14ac:dyDescent="0.25">
      <c r="A32" s="39">
        <v>22</v>
      </c>
      <c r="B32" s="38">
        <v>44</v>
      </c>
      <c r="C32" s="38">
        <v>34</v>
      </c>
      <c r="D32" s="40">
        <f t="shared" si="0"/>
        <v>39</v>
      </c>
      <c r="E32" s="40">
        <f t="shared" si="1"/>
        <v>26</v>
      </c>
      <c r="F32" s="40">
        <f t="shared" si="2"/>
        <v>0</v>
      </c>
      <c r="G32" s="61">
        <v>7.0000000000000007E-2</v>
      </c>
      <c r="H32" s="41">
        <v>0</v>
      </c>
      <c r="I32" s="38">
        <v>15</v>
      </c>
      <c r="J32" s="148">
        <v>10</v>
      </c>
      <c r="K32" s="9"/>
      <c r="L32" s="9"/>
      <c r="M32" s="15">
        <f t="shared" si="3"/>
        <v>39</v>
      </c>
    </row>
    <row r="33" spans="1:13" ht="13.5" x14ac:dyDescent="0.25">
      <c r="A33" s="39">
        <v>23</v>
      </c>
      <c r="B33" s="38">
        <v>66</v>
      </c>
      <c r="C33" s="38">
        <v>39</v>
      </c>
      <c r="D33" s="40">
        <f t="shared" si="0"/>
        <v>52.5</v>
      </c>
      <c r="E33" s="40">
        <f t="shared" si="1"/>
        <v>12.5</v>
      </c>
      <c r="F33" s="40">
        <f t="shared" si="2"/>
        <v>0</v>
      </c>
      <c r="G33" s="61">
        <v>0</v>
      </c>
      <c r="H33" s="41">
        <v>0</v>
      </c>
      <c r="I33" s="38">
        <v>15</v>
      </c>
      <c r="J33" s="148">
        <v>130</v>
      </c>
      <c r="K33" s="9"/>
      <c r="L33" s="9"/>
      <c r="M33" s="15">
        <f t="shared" si="3"/>
        <v>52.5</v>
      </c>
    </row>
    <row r="34" spans="1:13" ht="13.5" x14ac:dyDescent="0.25">
      <c r="A34" s="39">
        <v>24</v>
      </c>
      <c r="B34" s="38">
        <v>78</v>
      </c>
      <c r="C34" s="38">
        <v>38</v>
      </c>
      <c r="D34" s="40">
        <f t="shared" si="0"/>
        <v>58</v>
      </c>
      <c r="E34" s="40">
        <f t="shared" si="1"/>
        <v>7</v>
      </c>
      <c r="F34" s="40">
        <f t="shared" si="2"/>
        <v>0</v>
      </c>
      <c r="G34" s="61">
        <v>0</v>
      </c>
      <c r="H34" s="41">
        <v>0</v>
      </c>
      <c r="I34" s="38">
        <v>11</v>
      </c>
      <c r="J34" s="148">
        <v>160</v>
      </c>
      <c r="K34" s="9"/>
      <c r="L34" s="9"/>
      <c r="M34" s="15">
        <f t="shared" si="3"/>
        <v>58</v>
      </c>
    </row>
    <row r="35" spans="1:13" ht="13.5" x14ac:dyDescent="0.25">
      <c r="A35" s="39">
        <v>25</v>
      </c>
      <c r="B35" s="38">
        <v>82</v>
      </c>
      <c r="C35" s="38">
        <v>42</v>
      </c>
      <c r="D35" s="40">
        <f t="shared" si="0"/>
        <v>62</v>
      </c>
      <c r="E35" s="40">
        <f t="shared" si="1"/>
        <v>3</v>
      </c>
      <c r="F35" s="40">
        <f t="shared" si="2"/>
        <v>0</v>
      </c>
      <c r="G35" s="61">
        <v>0</v>
      </c>
      <c r="H35" s="41">
        <v>0</v>
      </c>
      <c r="I35" s="38">
        <v>14</v>
      </c>
      <c r="J35" s="148">
        <v>140</v>
      </c>
      <c r="K35" s="9"/>
      <c r="L35" s="9"/>
      <c r="M35" s="15">
        <f t="shared" si="3"/>
        <v>62</v>
      </c>
    </row>
    <row r="36" spans="1:13" ht="13.5" x14ac:dyDescent="0.25">
      <c r="A36" s="39">
        <v>26</v>
      </c>
      <c r="B36" s="38">
        <v>84</v>
      </c>
      <c r="C36" s="38">
        <v>56</v>
      </c>
      <c r="D36" s="40">
        <f t="shared" si="0"/>
        <v>70</v>
      </c>
      <c r="E36" s="40">
        <f t="shared" si="1"/>
        <v>0</v>
      </c>
      <c r="F36" s="40">
        <f t="shared" si="2"/>
        <v>5</v>
      </c>
      <c r="G36" s="61">
        <v>0</v>
      </c>
      <c r="H36" s="41">
        <v>0</v>
      </c>
      <c r="I36" s="38">
        <v>10</v>
      </c>
      <c r="J36" s="149">
        <v>180</v>
      </c>
      <c r="K36" s="9"/>
      <c r="L36" s="9"/>
      <c r="M36" s="15">
        <f t="shared" si="3"/>
        <v>70</v>
      </c>
    </row>
    <row r="37" spans="1:13" ht="13.5" x14ac:dyDescent="0.25">
      <c r="A37" s="39">
        <v>27</v>
      </c>
      <c r="B37" s="38">
        <v>71</v>
      </c>
      <c r="C37" s="38">
        <v>56</v>
      </c>
      <c r="D37" s="40">
        <f t="shared" si="0"/>
        <v>63.5</v>
      </c>
      <c r="E37" s="40">
        <f t="shared" si="1"/>
        <v>1.5</v>
      </c>
      <c r="F37" s="40">
        <f t="shared" si="2"/>
        <v>0</v>
      </c>
      <c r="G37" s="61">
        <v>0</v>
      </c>
      <c r="H37" s="41">
        <v>0</v>
      </c>
      <c r="I37" s="38">
        <v>26</v>
      </c>
      <c r="J37" s="148">
        <v>10</v>
      </c>
      <c r="K37" s="9"/>
      <c r="L37" s="9"/>
      <c r="M37" s="15">
        <f t="shared" si="3"/>
        <v>63.5</v>
      </c>
    </row>
    <row r="38" spans="1:13" ht="13.5" x14ac:dyDescent="0.25">
      <c r="A38" s="39">
        <v>28</v>
      </c>
      <c r="B38" s="38">
        <v>79</v>
      </c>
      <c r="C38" s="38">
        <v>45</v>
      </c>
      <c r="D38" s="40">
        <f t="shared" si="0"/>
        <v>62</v>
      </c>
      <c r="E38" s="40">
        <f t="shared" si="1"/>
        <v>3</v>
      </c>
      <c r="F38" s="40">
        <f t="shared" si="2"/>
        <v>0</v>
      </c>
      <c r="G38" s="61">
        <v>0</v>
      </c>
      <c r="H38" s="41">
        <v>0</v>
      </c>
      <c r="I38" s="38">
        <v>11</v>
      </c>
      <c r="J38" s="148">
        <v>190</v>
      </c>
      <c r="K38" s="9"/>
      <c r="L38" s="9"/>
      <c r="M38" s="15">
        <f t="shared" si="3"/>
        <v>62</v>
      </c>
    </row>
    <row r="39" spans="1:13" ht="15" hidden="1" customHeight="1" x14ac:dyDescent="0.25">
      <c r="A39" s="39">
        <v>29</v>
      </c>
      <c r="B39" s="38"/>
      <c r="C39" s="38"/>
      <c r="D39" s="40">
        <f>(B39+C39)/2</f>
        <v>0</v>
      </c>
      <c r="E39" s="40">
        <f t="shared" si="1"/>
        <v>0</v>
      </c>
      <c r="F39" s="40">
        <v>5</v>
      </c>
      <c r="G39" s="61">
        <v>0</v>
      </c>
      <c r="H39" s="41">
        <v>0</v>
      </c>
      <c r="I39" s="38"/>
      <c r="J39" s="148"/>
      <c r="K39" s="9"/>
      <c r="L39" s="9"/>
      <c r="M39" s="15">
        <f t="shared" si="3"/>
        <v>65</v>
      </c>
    </row>
    <row r="40" spans="1:13" ht="1.5" customHeight="1" thickBot="1" x14ac:dyDescent="0.3">
      <c r="A40" s="49">
        <v>29</v>
      </c>
      <c r="B40" s="197"/>
      <c r="C40" s="197"/>
      <c r="D40" s="198">
        <f t="shared" si="0"/>
        <v>0</v>
      </c>
      <c r="E40" s="198">
        <f t="shared" si="1"/>
        <v>0</v>
      </c>
      <c r="F40" s="198">
        <f t="shared" si="2"/>
        <v>0</v>
      </c>
      <c r="G40" s="199"/>
      <c r="H40" s="200">
        <v>0</v>
      </c>
      <c r="I40" s="197"/>
      <c r="J40" s="201"/>
      <c r="K40" s="60"/>
      <c r="L40" s="59"/>
      <c r="M40" s="15">
        <f>IF(D40=0,65,D40)</f>
        <v>65</v>
      </c>
    </row>
    <row r="41" spans="1:13" ht="13.5" x14ac:dyDescent="0.25">
      <c r="A41" s="174" t="s">
        <v>24</v>
      </c>
      <c r="B41" s="35" t="s">
        <v>25</v>
      </c>
      <c r="C41" s="202" t="s">
        <v>25</v>
      </c>
      <c r="D41" s="40">
        <f>SUM(D11:D40)</f>
        <v>1616.5</v>
      </c>
      <c r="E41" s="40">
        <f>SUM(E11:E40)</f>
        <v>269</v>
      </c>
      <c r="F41" s="40">
        <f>SUM(F11:F40)</f>
        <v>70.5</v>
      </c>
      <c r="G41" s="61">
        <f>SUM(G11:G40)</f>
        <v>0.4</v>
      </c>
      <c r="H41" s="40">
        <f>SUM(H11:H40)</f>
        <v>0.2</v>
      </c>
      <c r="I41" s="40" t="s">
        <v>25</v>
      </c>
      <c r="J41" s="172" t="s">
        <v>25</v>
      </c>
      <c r="K41" s="9"/>
      <c r="L41" s="9"/>
      <c r="M41" s="15">
        <f>IF(D41=0,65,D41)</f>
        <v>1616.5</v>
      </c>
    </row>
    <row r="42" spans="1:13" ht="13.5" x14ac:dyDescent="0.25">
      <c r="A42" s="174" t="s">
        <v>26</v>
      </c>
      <c r="B42" s="35">
        <f>MAXA(B11:B39)</f>
        <v>91</v>
      </c>
      <c r="C42" s="35">
        <f>MINA(C11:C39)</f>
        <v>23</v>
      </c>
      <c r="D42" s="40">
        <f>(B42+C42)/2</f>
        <v>57</v>
      </c>
      <c r="E42" s="40">
        <f>IF(65-D42&gt;0,65-M42,0)</f>
        <v>65</v>
      </c>
      <c r="F42" s="40">
        <f>IF((D42)-65&lt;0,0,(D42)-65)</f>
        <v>0</v>
      </c>
      <c r="G42" s="61">
        <f>MAXA(G11:G39)</f>
        <v>0.24</v>
      </c>
      <c r="H42" s="61">
        <f>MAXA(H11:H39)</f>
        <v>0.2</v>
      </c>
      <c r="I42" s="35">
        <f>MAXA(I11:I39)</f>
        <v>33</v>
      </c>
      <c r="J42" s="147">
        <v>360</v>
      </c>
      <c r="K42" s="9"/>
      <c r="L42" s="9"/>
      <c r="M42" s="9"/>
    </row>
    <row r="43" spans="1:13" ht="13.5" x14ac:dyDescent="0.25">
      <c r="A43" s="174" t="s">
        <v>27</v>
      </c>
      <c r="B43" s="40">
        <f>IF(ISERROR(AVERAGEA(B11:B39)),"NO DATA",(AVERAGE(B11:B39)))</f>
        <v>69.071428571428569</v>
      </c>
      <c r="C43" s="40">
        <f>IF(ISERROR(AVERAGEA(C11:C39)),"NO DATA",(AVERAGE(C11:C39)))</f>
        <v>46.392857142857146</v>
      </c>
      <c r="D43" s="40">
        <f>(B43+C43)/2</f>
        <v>57.732142857142861</v>
      </c>
      <c r="E43" s="40">
        <f>IF(65-D43&gt;0,65-M43,0)</f>
        <v>65</v>
      </c>
      <c r="F43" s="40">
        <f>IF((D43)-65&lt;0,0,(D43)-65)</f>
        <v>0</v>
      </c>
      <c r="G43" s="40">
        <f>IF(ISERROR(AVERAGEA(G11:G39)),"NO DATA",(AVERAGE(G11:G39)))</f>
        <v>1.3793103448275864E-2</v>
      </c>
      <c r="H43" s="41">
        <f>AVERAGEA(H11:H39)</f>
        <v>6.8965517241379318E-3</v>
      </c>
      <c r="I43" s="40">
        <f>IF(ISERROR(AVERAGEA(I11:I39)),"NO DATA",(AVERAGE(I11:I39)))</f>
        <v>18.857142857142858</v>
      </c>
      <c r="J43" s="156">
        <f>IF(ISERROR(AVERAGEA(J11:J39)),"NO DATA",(AVERAGE(J11:J39)))</f>
        <v>124.28571428571429</v>
      </c>
      <c r="K43" s="9"/>
      <c r="L43" s="9"/>
      <c r="M43" s="9"/>
    </row>
    <row r="44" spans="1:13" ht="13.5" x14ac:dyDescent="0.25">
      <c r="A44" s="174" t="s">
        <v>28</v>
      </c>
      <c r="B44" s="35">
        <v>100</v>
      </c>
      <c r="C44" s="35">
        <v>9</v>
      </c>
      <c r="D44" s="40">
        <v>55</v>
      </c>
      <c r="E44" s="40">
        <f>AVERAGEA(E12:E40)</f>
        <v>9.0172413793103452</v>
      </c>
      <c r="F44" s="40">
        <f>AVERAGEA(F12:F40)</f>
        <v>2.4310344827586206</v>
      </c>
      <c r="G44" s="61">
        <v>1.6</v>
      </c>
      <c r="H44" s="41">
        <v>0.2</v>
      </c>
      <c r="I44" s="35">
        <v>10</v>
      </c>
      <c r="J44" s="172">
        <v>20</v>
      </c>
      <c r="K44" s="9"/>
      <c r="L44" s="9"/>
      <c r="M44" s="9"/>
    </row>
    <row r="45" spans="1:13" ht="13.5" x14ac:dyDescent="0.25">
      <c r="A45" s="27" t="s">
        <v>29</v>
      </c>
      <c r="B45" s="34"/>
      <c r="C45" s="34"/>
      <c r="D45" s="145"/>
      <c r="E45" s="40"/>
      <c r="F45" s="40"/>
      <c r="G45" s="61">
        <f>SUM(G11:G39)-G44</f>
        <v>-1.2000000000000002</v>
      </c>
      <c r="H45" s="34"/>
      <c r="I45" s="38"/>
      <c r="J45" s="29"/>
      <c r="K45" s="9"/>
      <c r="L45" s="9"/>
      <c r="M45" s="9"/>
    </row>
    <row r="46" spans="1:13" ht="13.5" x14ac:dyDescent="0.25">
      <c r="A46" s="158" t="s">
        <v>77</v>
      </c>
      <c r="B46" s="150"/>
      <c r="C46" s="150"/>
      <c r="D46" s="150"/>
      <c r="E46" s="150"/>
      <c r="F46" s="150"/>
      <c r="G46" s="150"/>
      <c r="H46" s="150"/>
      <c r="I46" s="150"/>
      <c r="J46" s="176"/>
      <c r="K46" s="9"/>
      <c r="L46" s="9"/>
      <c r="M46" s="9"/>
    </row>
    <row r="47" spans="1:13" ht="14.25" thickBot="1" x14ac:dyDescent="0.3">
      <c r="A47" s="223"/>
      <c r="B47" s="160"/>
      <c r="C47" s="160"/>
      <c r="D47" s="160"/>
      <c r="E47" s="160"/>
      <c r="F47" s="160"/>
      <c r="G47" s="160"/>
      <c r="H47" s="160"/>
      <c r="I47" s="160"/>
      <c r="J47" s="52"/>
      <c r="K47" s="9"/>
      <c r="L47" s="9"/>
      <c r="M47" s="9"/>
    </row>
    <row r="48" spans="1:13" ht="13.5" x14ac:dyDescent="0.25">
      <c r="A48" s="27"/>
      <c r="B48" s="34"/>
      <c r="C48" s="34"/>
      <c r="D48" s="34"/>
      <c r="E48" s="34"/>
      <c r="F48" s="34"/>
      <c r="G48" s="34"/>
      <c r="H48" s="34"/>
      <c r="I48" s="34"/>
      <c r="J48" s="29"/>
      <c r="K48" s="9"/>
      <c r="L48" s="9"/>
      <c r="M48" s="9"/>
    </row>
    <row r="49" spans="1:13" ht="14.25" thickBot="1" x14ac:dyDescent="0.3">
      <c r="A49" s="159"/>
      <c r="B49" s="160"/>
      <c r="C49" s="160"/>
      <c r="D49" s="160"/>
      <c r="E49" s="160"/>
      <c r="F49" s="160"/>
      <c r="G49" s="160"/>
      <c r="H49" s="160"/>
      <c r="I49" s="160"/>
      <c r="J49" s="52"/>
      <c r="K49" s="9"/>
      <c r="L49" s="9"/>
      <c r="M49" s="9"/>
    </row>
    <row r="50" spans="1:13" ht="13.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2" spans="1:13" x14ac:dyDescent="0.2">
      <c r="A52" s="203"/>
      <c r="B52" s="227" t="s">
        <v>31</v>
      </c>
      <c r="C52" s="227"/>
      <c r="D52" s="227"/>
      <c r="E52" s="227"/>
      <c r="F52" s="227"/>
      <c r="G52" s="227" t="s">
        <v>72</v>
      </c>
      <c r="H52" s="227"/>
      <c r="I52" s="227"/>
      <c r="J52" s="203" t="s">
        <v>73</v>
      </c>
    </row>
    <row r="53" spans="1:13" ht="25.5" x14ac:dyDescent="0.2">
      <c r="A53" s="203"/>
      <c r="B53" s="205" t="s">
        <v>66</v>
      </c>
      <c r="C53" s="205" t="s">
        <v>67</v>
      </c>
      <c r="D53" s="203" t="s">
        <v>16</v>
      </c>
      <c r="E53" s="205" t="s">
        <v>69</v>
      </c>
      <c r="F53" s="205" t="s">
        <v>68</v>
      </c>
      <c r="G53" s="205" t="s">
        <v>12</v>
      </c>
      <c r="H53" s="203" t="s">
        <v>16</v>
      </c>
      <c r="I53" s="205" t="s">
        <v>71</v>
      </c>
      <c r="J53" s="205" t="s">
        <v>70</v>
      </c>
    </row>
    <row r="54" spans="1:13" ht="25.5" x14ac:dyDescent="0.2">
      <c r="A54" s="205" t="s">
        <v>64</v>
      </c>
      <c r="B54" s="206">
        <f>MAXA(B11:B39)</f>
        <v>91</v>
      </c>
      <c r="C54" s="207">
        <f>IF(ISERROR(AVERAGEA(B11:B39)),"NO DATA",(AVERAGE(B11:B39)))</f>
        <v>69.071428571428569</v>
      </c>
      <c r="D54" s="40">
        <f>(B43+C43)/2</f>
        <v>57.732142857142861</v>
      </c>
      <c r="E54" s="207">
        <f>IF(ISERROR(AVERAGEA(C11:C40)),"NO DATA",(AVERAGE(C11:C40)))</f>
        <v>46.392857142857146</v>
      </c>
      <c r="F54" s="35">
        <f>MINA(C11:C40)</f>
        <v>23</v>
      </c>
      <c r="G54" s="61">
        <f>SUM(G11:G39)</f>
        <v>0.4</v>
      </c>
      <c r="H54" s="61">
        <f>AVERAGE(G11:G39)</f>
        <v>1.3793103448275864E-2</v>
      </c>
      <c r="I54" s="61">
        <f>MAXA(G11:G40)</f>
        <v>0.24</v>
      </c>
      <c r="J54" s="206">
        <f>MAXA(I11:I40)</f>
        <v>33</v>
      </c>
    </row>
    <row r="55" spans="1:13" x14ac:dyDescent="0.2">
      <c r="A55" s="203" t="s">
        <v>65</v>
      </c>
      <c r="B55" s="204">
        <v>100</v>
      </c>
      <c r="C55" s="204">
        <v>69</v>
      </c>
      <c r="D55" s="204">
        <v>55</v>
      </c>
      <c r="E55" s="204">
        <v>46</v>
      </c>
      <c r="F55" s="204">
        <v>9</v>
      </c>
      <c r="G55" s="204">
        <v>6.8</v>
      </c>
      <c r="H55" s="204">
        <v>1.6</v>
      </c>
      <c r="I55" s="204">
        <v>2.4</v>
      </c>
      <c r="J55" s="204">
        <v>50</v>
      </c>
    </row>
  </sheetData>
  <mergeCells count="2">
    <mergeCell ref="B52:F52"/>
    <mergeCell ref="G52:I52"/>
  </mergeCells>
  <phoneticPr fontId="0" type="noConversion"/>
  <conditionalFormatting sqref="C54">
    <cfRule type="cellIs" dxfId="94" priority="1" stopIfTrue="1" operator="greaterThan">
      <formula>$C$57</formula>
    </cfRule>
  </conditionalFormatting>
  <conditionalFormatting sqref="B54">
    <cfRule type="cellIs" dxfId="93" priority="2" stopIfTrue="1" operator="greaterThan">
      <formula>$B$55</formula>
    </cfRule>
  </conditionalFormatting>
  <conditionalFormatting sqref="E54">
    <cfRule type="cellIs" dxfId="92" priority="3" stopIfTrue="1" operator="lessThan">
      <formula>$E$55</formula>
    </cfRule>
  </conditionalFormatting>
  <conditionalFormatting sqref="J54">
    <cfRule type="cellIs" dxfId="91" priority="4" stopIfTrue="1" operator="greaterThan">
      <formula>$J$55</formula>
    </cfRule>
  </conditionalFormatting>
  <conditionalFormatting sqref="D54">
    <cfRule type="cellIs" dxfId="90" priority="5" stopIfTrue="1" operator="lessThanOrEqual">
      <formula>$D$55</formula>
    </cfRule>
  </conditionalFormatting>
  <pageMargins left="0.89" right="0.5" top="0.91" bottom="0.75" header="0.5" footer="0.5"/>
  <pageSetup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3522-BD21-4EB3-BD6B-06A06011CD1E}">
  <sheetPr codeName="Sheet3">
    <pageSetUpPr fitToPage="1"/>
  </sheetPr>
  <dimension ref="A1:M55"/>
  <sheetViews>
    <sheetView zoomScaleNormal="100" workbookViewId="0">
      <selection activeCell="E24" sqref="E24"/>
    </sheetView>
  </sheetViews>
  <sheetFormatPr defaultRowHeight="12.75" x14ac:dyDescent="0.2"/>
  <sheetData>
    <row r="1" spans="1:13" ht="13.5" thickBot="1" x14ac:dyDescent="0.25">
      <c r="A1" s="1"/>
      <c r="B1" s="2"/>
      <c r="C1" s="2"/>
      <c r="D1" s="2"/>
      <c r="E1" s="2"/>
      <c r="F1" s="2"/>
      <c r="G1" s="2"/>
      <c r="H1" s="2"/>
      <c r="I1" s="2"/>
      <c r="J1" s="3"/>
    </row>
    <row r="2" spans="1:13" ht="16.5" thickBot="1" x14ac:dyDescent="0.3">
      <c r="A2" s="75" t="s">
        <v>79</v>
      </c>
      <c r="B2" s="65"/>
      <c r="C2" s="76"/>
      <c r="D2" s="77"/>
      <c r="E2" s="77"/>
      <c r="F2" s="77"/>
      <c r="G2" s="77"/>
      <c r="H2" s="77"/>
      <c r="I2" s="77"/>
      <c r="J2" s="78"/>
      <c r="K2" s="4"/>
      <c r="L2" s="4"/>
      <c r="M2" s="4"/>
    </row>
    <row r="3" spans="1:13" ht="15.75" x14ac:dyDescent="0.25">
      <c r="A3" s="75" t="s">
        <v>0</v>
      </c>
      <c r="B3" s="65"/>
      <c r="C3" s="76"/>
      <c r="D3" s="77"/>
      <c r="E3" s="77"/>
      <c r="F3" s="77"/>
      <c r="G3" s="77"/>
      <c r="H3" s="77"/>
      <c r="I3" s="65"/>
      <c r="J3" s="78"/>
      <c r="K3" s="4"/>
      <c r="L3" s="4"/>
      <c r="M3" s="4"/>
    </row>
    <row r="4" spans="1:13" ht="15.75" x14ac:dyDescent="0.25">
      <c r="A4" s="71" t="s">
        <v>1</v>
      </c>
      <c r="B4" s="63"/>
      <c r="C4" s="68"/>
      <c r="D4" s="69"/>
      <c r="E4" s="69"/>
      <c r="F4" s="72"/>
      <c r="G4" s="69"/>
      <c r="H4" s="69"/>
      <c r="I4" s="63"/>
      <c r="J4" s="70"/>
      <c r="K4" s="4"/>
      <c r="L4" s="4"/>
      <c r="M4" s="4"/>
    </row>
    <row r="5" spans="1:13" ht="15.75" x14ac:dyDescent="0.25">
      <c r="A5" s="73" t="s">
        <v>83</v>
      </c>
      <c r="B5" s="69"/>
      <c r="C5" s="74"/>
      <c r="D5" s="69"/>
      <c r="E5" s="69"/>
      <c r="F5" s="69"/>
      <c r="G5" s="69"/>
      <c r="H5" s="69"/>
      <c r="I5" s="69"/>
      <c r="J5" s="70"/>
      <c r="K5" s="4"/>
      <c r="L5" s="4"/>
      <c r="M5" s="4"/>
    </row>
    <row r="6" spans="1:13" ht="16.5" thickBot="1" x14ac:dyDescent="0.3">
      <c r="A6" s="79"/>
      <c r="B6" s="80"/>
      <c r="C6" s="80"/>
      <c r="D6" s="80"/>
      <c r="E6" s="80"/>
      <c r="F6" s="80"/>
      <c r="G6" s="80"/>
      <c r="H6" s="80"/>
      <c r="I6" s="80"/>
      <c r="J6" s="81"/>
      <c r="K6" s="58"/>
      <c r="L6" s="58"/>
      <c r="M6" s="4"/>
    </row>
    <row r="7" spans="1:13" ht="13.5" x14ac:dyDescent="0.25">
      <c r="A7" s="82"/>
      <c r="B7" s="83" t="s">
        <v>2</v>
      </c>
      <c r="C7" s="84"/>
      <c r="D7" s="84"/>
      <c r="E7" s="84"/>
      <c r="F7" s="84"/>
      <c r="G7" s="85" t="s">
        <v>3</v>
      </c>
      <c r="H7" s="84"/>
      <c r="I7" s="83" t="s">
        <v>4</v>
      </c>
      <c r="J7" s="86"/>
      <c r="K7" s="9"/>
      <c r="L7" s="9"/>
      <c r="M7" s="9"/>
    </row>
    <row r="8" spans="1:13" ht="13.5" x14ac:dyDescent="0.25">
      <c r="A8" s="82"/>
      <c r="B8" s="168"/>
      <c r="C8" s="84"/>
      <c r="D8" s="85" t="s">
        <v>5</v>
      </c>
      <c r="E8" s="84"/>
      <c r="F8" s="84"/>
      <c r="G8" s="83" t="s">
        <v>6</v>
      </c>
      <c r="H8" s="143" t="s">
        <v>7</v>
      </c>
      <c r="I8" s="84"/>
      <c r="J8" s="86"/>
      <c r="K8" s="9"/>
      <c r="L8" s="9"/>
      <c r="M8" s="9"/>
    </row>
    <row r="9" spans="1:13" ht="13.5" x14ac:dyDescent="0.25">
      <c r="A9" s="82"/>
      <c r="B9" s="83" t="s">
        <v>8</v>
      </c>
      <c r="C9" s="84"/>
      <c r="D9" s="85" t="s">
        <v>9</v>
      </c>
      <c r="E9" s="84"/>
      <c r="F9" s="84"/>
      <c r="G9" s="83" t="s">
        <v>10</v>
      </c>
      <c r="H9" s="143" t="s">
        <v>11</v>
      </c>
      <c r="I9" s="143" t="s">
        <v>12</v>
      </c>
      <c r="J9" s="177" t="s">
        <v>13</v>
      </c>
      <c r="K9" s="9"/>
      <c r="L9" s="9"/>
      <c r="M9" s="9"/>
    </row>
    <row r="10" spans="1:13" ht="13.5" x14ac:dyDescent="0.25">
      <c r="A10" s="178" t="s">
        <v>14</v>
      </c>
      <c r="B10" s="83" t="s">
        <v>12</v>
      </c>
      <c r="C10" s="83" t="s">
        <v>15</v>
      </c>
      <c r="D10" s="83" t="s">
        <v>16</v>
      </c>
      <c r="E10" s="83" t="s">
        <v>17</v>
      </c>
      <c r="F10" s="83" t="s">
        <v>18</v>
      </c>
      <c r="G10" s="83" t="s">
        <v>19</v>
      </c>
      <c r="H10" s="143" t="s">
        <v>20</v>
      </c>
      <c r="I10" s="143" t="s">
        <v>21</v>
      </c>
      <c r="J10" s="181" t="s">
        <v>22</v>
      </c>
      <c r="K10" s="59" t="s">
        <v>23</v>
      </c>
      <c r="L10" s="16"/>
      <c r="M10" s="9"/>
    </row>
    <row r="11" spans="1:13" ht="14.25" thickBot="1" x14ac:dyDescent="0.3">
      <c r="A11" s="180"/>
      <c r="B11" s="31"/>
      <c r="C11" s="31"/>
      <c r="D11" s="31"/>
      <c r="E11" s="31"/>
      <c r="F11" s="31"/>
      <c r="G11" s="32"/>
      <c r="H11" s="32"/>
      <c r="I11" s="32"/>
      <c r="J11" s="144"/>
      <c r="K11" s="60"/>
      <c r="L11" s="59"/>
      <c r="M11" s="9"/>
    </row>
    <row r="12" spans="1:13" ht="13.5" x14ac:dyDescent="0.25">
      <c r="A12" s="182">
        <v>1</v>
      </c>
      <c r="B12" s="35">
        <v>85</v>
      </c>
      <c r="C12" s="35">
        <v>48</v>
      </c>
      <c r="D12" s="40">
        <f>(B12+C12)/2</f>
        <v>66.5</v>
      </c>
      <c r="E12" s="40">
        <f>IF(65-D12&gt;0,65-M12,0)</f>
        <v>0</v>
      </c>
      <c r="F12" s="40">
        <f>IF((D12)-65&lt;0,0,(D12)-65)</f>
        <v>1.5</v>
      </c>
      <c r="G12" s="146">
        <v>0</v>
      </c>
      <c r="H12" s="41">
        <v>0</v>
      </c>
      <c r="I12" s="35">
        <v>16</v>
      </c>
      <c r="J12" s="183">
        <v>140</v>
      </c>
      <c r="K12" s="16"/>
      <c r="L12" s="16"/>
      <c r="M12" s="15">
        <f>IF(D12=0,65,D12)</f>
        <v>66.5</v>
      </c>
    </row>
    <row r="13" spans="1:13" ht="13.5" x14ac:dyDescent="0.25">
      <c r="A13" s="182">
        <v>2</v>
      </c>
      <c r="B13" s="35">
        <v>86</v>
      </c>
      <c r="C13" s="35">
        <v>61</v>
      </c>
      <c r="D13" s="40">
        <f>(B13+C13)/2</f>
        <v>73.5</v>
      </c>
      <c r="E13" s="40">
        <f>IF(65-D13&gt;0,65-M13,0)</f>
        <v>0</v>
      </c>
      <c r="F13" s="40">
        <f>IF((D13)-65&lt;0,0,(D13)-65)</f>
        <v>8.5</v>
      </c>
      <c r="G13" s="61">
        <v>0</v>
      </c>
      <c r="H13" s="41">
        <v>0</v>
      </c>
      <c r="I13" s="35">
        <v>30</v>
      </c>
      <c r="J13" s="147">
        <v>140</v>
      </c>
      <c r="K13" s="9"/>
      <c r="L13" s="9"/>
      <c r="M13" s="15">
        <f>IF(D13=0,65,D13)</f>
        <v>73.5</v>
      </c>
    </row>
    <row r="14" spans="1:13" ht="13.5" x14ac:dyDescent="0.25">
      <c r="A14" s="182">
        <v>3</v>
      </c>
      <c r="B14" s="35">
        <v>72</v>
      </c>
      <c r="C14" s="35">
        <v>65</v>
      </c>
      <c r="D14" s="40">
        <f t="shared" ref="D14:D42" si="0">(B14+C14)/2</f>
        <v>68.5</v>
      </c>
      <c r="E14" s="40">
        <f t="shared" ref="E14:E42" si="1">IF(65-D14&gt;0,65-M14,0)</f>
        <v>0</v>
      </c>
      <c r="F14" s="40">
        <f t="shared" ref="F14:F42" si="2">IF((D14)-65&lt;0,0,(D14)-65)</f>
        <v>3.5</v>
      </c>
      <c r="G14" s="61">
        <v>0</v>
      </c>
      <c r="H14" s="41">
        <v>0</v>
      </c>
      <c r="I14" s="35">
        <v>24</v>
      </c>
      <c r="J14" s="147">
        <v>150</v>
      </c>
      <c r="K14" s="9"/>
      <c r="L14" s="9"/>
      <c r="M14" s="15">
        <f t="shared" ref="M14:M42" si="3">IF(D14=0,65,D14)</f>
        <v>68.5</v>
      </c>
    </row>
    <row r="15" spans="1:13" ht="13.5" x14ac:dyDescent="0.25">
      <c r="A15" s="182">
        <v>4</v>
      </c>
      <c r="B15" s="35">
        <v>78</v>
      </c>
      <c r="C15" s="35">
        <v>56</v>
      </c>
      <c r="D15" s="40">
        <f t="shared" si="0"/>
        <v>67</v>
      </c>
      <c r="E15" s="40">
        <f t="shared" si="1"/>
        <v>0</v>
      </c>
      <c r="F15" s="40">
        <f t="shared" si="2"/>
        <v>2</v>
      </c>
      <c r="G15" s="61">
        <v>0.05</v>
      </c>
      <c r="H15" s="41">
        <v>0</v>
      </c>
      <c r="I15" s="35">
        <v>41</v>
      </c>
      <c r="J15" s="147">
        <v>290</v>
      </c>
      <c r="K15" s="9"/>
      <c r="L15" s="9"/>
      <c r="M15" s="15">
        <f t="shared" si="3"/>
        <v>67</v>
      </c>
    </row>
    <row r="16" spans="1:13" ht="13.5" x14ac:dyDescent="0.25">
      <c r="A16" s="182">
        <v>5</v>
      </c>
      <c r="B16" s="35">
        <v>76</v>
      </c>
      <c r="C16" s="35">
        <v>56</v>
      </c>
      <c r="D16" s="40">
        <f t="shared" si="0"/>
        <v>66</v>
      </c>
      <c r="E16" s="40">
        <f t="shared" si="1"/>
        <v>0</v>
      </c>
      <c r="F16" s="40">
        <f t="shared" si="2"/>
        <v>1</v>
      </c>
      <c r="G16" s="61">
        <v>0</v>
      </c>
      <c r="H16" s="41">
        <v>0</v>
      </c>
      <c r="I16" s="35">
        <v>20</v>
      </c>
      <c r="J16" s="147">
        <v>360</v>
      </c>
      <c r="K16" s="9"/>
      <c r="L16" s="9"/>
      <c r="M16" s="15">
        <f t="shared" si="3"/>
        <v>66</v>
      </c>
    </row>
    <row r="17" spans="1:13" ht="13.5" x14ac:dyDescent="0.25">
      <c r="A17" s="182">
        <v>6</v>
      </c>
      <c r="B17" s="35">
        <v>80</v>
      </c>
      <c r="C17" s="35">
        <v>44</v>
      </c>
      <c r="D17" s="40">
        <f t="shared" si="0"/>
        <v>62</v>
      </c>
      <c r="E17" s="40">
        <f t="shared" si="1"/>
        <v>3</v>
      </c>
      <c r="F17" s="40">
        <f t="shared" si="2"/>
        <v>0</v>
      </c>
      <c r="G17" s="61">
        <v>0</v>
      </c>
      <c r="H17" s="41">
        <v>0</v>
      </c>
      <c r="I17" s="35">
        <v>30</v>
      </c>
      <c r="J17" s="147">
        <v>140</v>
      </c>
      <c r="K17" s="9"/>
      <c r="L17" s="9"/>
      <c r="M17" s="15">
        <f t="shared" si="3"/>
        <v>62</v>
      </c>
    </row>
    <row r="18" spans="1:13" ht="13.5" x14ac:dyDescent="0.25">
      <c r="A18" s="182">
        <v>7</v>
      </c>
      <c r="B18" s="38">
        <v>87</v>
      </c>
      <c r="C18" s="38">
        <v>64</v>
      </c>
      <c r="D18" s="40">
        <f t="shared" si="0"/>
        <v>75.5</v>
      </c>
      <c r="E18" s="40">
        <f t="shared" si="1"/>
        <v>0</v>
      </c>
      <c r="F18" s="40">
        <f t="shared" si="2"/>
        <v>10.5</v>
      </c>
      <c r="G18" s="61">
        <v>0</v>
      </c>
      <c r="H18" s="41">
        <v>0</v>
      </c>
      <c r="I18" s="38">
        <v>20</v>
      </c>
      <c r="J18" s="148">
        <v>120</v>
      </c>
      <c r="K18" s="9"/>
      <c r="L18" s="9"/>
      <c r="M18" s="15">
        <f t="shared" si="3"/>
        <v>75.5</v>
      </c>
    </row>
    <row r="19" spans="1:13" ht="13.5" x14ac:dyDescent="0.25">
      <c r="A19" s="182">
        <v>8</v>
      </c>
      <c r="B19" s="38">
        <v>90</v>
      </c>
      <c r="C19" s="38">
        <v>52</v>
      </c>
      <c r="D19" s="40">
        <f t="shared" si="0"/>
        <v>71</v>
      </c>
      <c r="E19" s="40">
        <f t="shared" si="1"/>
        <v>0</v>
      </c>
      <c r="F19" s="40">
        <f t="shared" si="2"/>
        <v>6</v>
      </c>
      <c r="G19" s="61">
        <v>0</v>
      </c>
      <c r="H19" s="41">
        <v>0</v>
      </c>
      <c r="I19" s="38">
        <v>37</v>
      </c>
      <c r="J19" s="148">
        <v>350</v>
      </c>
      <c r="K19" s="9"/>
      <c r="L19" s="9"/>
      <c r="M19" s="15">
        <f t="shared" si="3"/>
        <v>71</v>
      </c>
    </row>
    <row r="20" spans="1:13" ht="13.5" x14ac:dyDescent="0.25">
      <c r="A20" s="182">
        <v>9</v>
      </c>
      <c r="B20" s="38">
        <v>69</v>
      </c>
      <c r="C20" s="38">
        <v>44</v>
      </c>
      <c r="D20" s="40">
        <f t="shared" si="0"/>
        <v>56.5</v>
      </c>
      <c r="E20" s="40">
        <f t="shared" si="1"/>
        <v>8.5</v>
      </c>
      <c r="F20" s="40">
        <f t="shared" si="2"/>
        <v>0</v>
      </c>
      <c r="G20" s="61">
        <v>0</v>
      </c>
      <c r="H20" s="41">
        <v>0</v>
      </c>
      <c r="I20" s="38">
        <v>26</v>
      </c>
      <c r="J20" s="148">
        <v>330</v>
      </c>
      <c r="K20" s="9"/>
      <c r="L20" s="9"/>
      <c r="M20" s="15">
        <f t="shared" si="3"/>
        <v>56.5</v>
      </c>
    </row>
    <row r="21" spans="1:13" ht="13.5" x14ac:dyDescent="0.25">
      <c r="A21" s="182">
        <v>10</v>
      </c>
      <c r="B21" s="38">
        <v>78</v>
      </c>
      <c r="C21" s="38">
        <v>38</v>
      </c>
      <c r="D21" s="40">
        <f t="shared" si="0"/>
        <v>58</v>
      </c>
      <c r="E21" s="40">
        <f t="shared" si="1"/>
        <v>7</v>
      </c>
      <c r="F21" s="40">
        <f t="shared" si="2"/>
        <v>0</v>
      </c>
      <c r="G21" s="61">
        <v>0</v>
      </c>
      <c r="H21" s="41">
        <v>0</v>
      </c>
      <c r="I21" s="38">
        <v>16</v>
      </c>
      <c r="J21" s="148">
        <v>230</v>
      </c>
      <c r="K21" s="9"/>
      <c r="L21" s="9"/>
      <c r="M21" s="15">
        <f t="shared" si="3"/>
        <v>58</v>
      </c>
    </row>
    <row r="22" spans="1:13" ht="13.5" x14ac:dyDescent="0.25">
      <c r="A22" s="182">
        <v>11</v>
      </c>
      <c r="B22" s="38">
        <v>86</v>
      </c>
      <c r="C22" s="38">
        <v>42</v>
      </c>
      <c r="D22" s="40">
        <f t="shared" si="0"/>
        <v>64</v>
      </c>
      <c r="E22" s="40">
        <f t="shared" si="1"/>
        <v>1</v>
      </c>
      <c r="F22" s="40">
        <f t="shared" si="2"/>
        <v>0</v>
      </c>
      <c r="G22" s="61">
        <v>0</v>
      </c>
      <c r="H22" s="41">
        <v>0</v>
      </c>
      <c r="I22" s="38">
        <v>19</v>
      </c>
      <c r="J22" s="148">
        <v>160</v>
      </c>
      <c r="K22" s="9"/>
      <c r="L22" s="9"/>
      <c r="M22" s="15">
        <f t="shared" si="3"/>
        <v>64</v>
      </c>
    </row>
    <row r="23" spans="1:13" ht="13.5" x14ac:dyDescent="0.25">
      <c r="A23" s="182">
        <v>12</v>
      </c>
      <c r="B23" s="38">
        <v>94</v>
      </c>
      <c r="C23" s="38">
        <v>55</v>
      </c>
      <c r="D23" s="40">
        <f t="shared" si="0"/>
        <v>74.5</v>
      </c>
      <c r="E23" s="40">
        <f t="shared" si="1"/>
        <v>0</v>
      </c>
      <c r="F23" s="40">
        <f t="shared" si="2"/>
        <v>9.5</v>
      </c>
      <c r="G23" s="61">
        <v>0</v>
      </c>
      <c r="H23" s="41">
        <v>0</v>
      </c>
      <c r="I23" s="38">
        <v>23</v>
      </c>
      <c r="J23" s="149">
        <v>240</v>
      </c>
      <c r="K23" s="9"/>
      <c r="L23" s="9"/>
      <c r="M23" s="15">
        <f t="shared" si="3"/>
        <v>74.5</v>
      </c>
    </row>
    <row r="24" spans="1:13" ht="13.5" x14ac:dyDescent="0.25">
      <c r="A24" s="182">
        <v>13</v>
      </c>
      <c r="B24" s="38">
        <v>93</v>
      </c>
      <c r="C24" s="38">
        <v>50</v>
      </c>
      <c r="D24" s="40">
        <f t="shared" si="0"/>
        <v>71.5</v>
      </c>
      <c r="E24" s="40">
        <f t="shared" si="1"/>
        <v>0</v>
      </c>
      <c r="F24" s="40">
        <f t="shared" si="2"/>
        <v>6.5</v>
      </c>
      <c r="G24" s="61">
        <v>0</v>
      </c>
      <c r="H24" s="41">
        <v>0</v>
      </c>
      <c r="I24" s="38">
        <v>19</v>
      </c>
      <c r="J24" s="148">
        <v>150</v>
      </c>
      <c r="K24" s="9"/>
      <c r="L24" s="9"/>
      <c r="M24" s="15">
        <f t="shared" si="3"/>
        <v>71.5</v>
      </c>
    </row>
    <row r="25" spans="1:13" ht="13.5" x14ac:dyDescent="0.25">
      <c r="A25" s="182">
        <v>14</v>
      </c>
      <c r="B25" s="38">
        <v>97</v>
      </c>
      <c r="C25" s="38">
        <v>66</v>
      </c>
      <c r="D25" s="40">
        <f t="shared" si="0"/>
        <v>81.5</v>
      </c>
      <c r="E25" s="40">
        <f t="shared" si="1"/>
        <v>0</v>
      </c>
      <c r="F25" s="40">
        <f t="shared" si="2"/>
        <v>16.5</v>
      </c>
      <c r="G25" s="61">
        <v>0</v>
      </c>
      <c r="H25" s="41">
        <v>0</v>
      </c>
      <c r="I25" s="38">
        <v>25</v>
      </c>
      <c r="J25" s="148">
        <v>270</v>
      </c>
      <c r="K25" s="9"/>
      <c r="L25" s="9"/>
      <c r="M25" s="15">
        <f t="shared" si="3"/>
        <v>81.5</v>
      </c>
    </row>
    <row r="26" spans="1:13" ht="13.5" x14ac:dyDescent="0.25">
      <c r="A26" s="182">
        <v>15</v>
      </c>
      <c r="B26" s="38">
        <v>80</v>
      </c>
      <c r="C26" s="38">
        <v>62</v>
      </c>
      <c r="D26" s="40">
        <f t="shared" si="0"/>
        <v>71</v>
      </c>
      <c r="E26" s="40">
        <f t="shared" si="1"/>
        <v>0</v>
      </c>
      <c r="F26" s="40">
        <f t="shared" si="2"/>
        <v>6</v>
      </c>
      <c r="G26" s="61">
        <v>0</v>
      </c>
      <c r="H26" s="41">
        <v>0</v>
      </c>
      <c r="I26" s="38">
        <v>37</v>
      </c>
      <c r="J26" s="148">
        <v>320</v>
      </c>
      <c r="K26" s="9"/>
      <c r="L26" s="9"/>
      <c r="M26" s="15">
        <f t="shared" si="3"/>
        <v>71</v>
      </c>
    </row>
    <row r="27" spans="1:13" ht="13.5" x14ac:dyDescent="0.25">
      <c r="A27" s="182">
        <v>16</v>
      </c>
      <c r="B27" s="38">
        <v>83</v>
      </c>
      <c r="C27" s="38">
        <v>45</v>
      </c>
      <c r="D27" s="40">
        <f t="shared" si="0"/>
        <v>64</v>
      </c>
      <c r="E27" s="40">
        <f t="shared" si="1"/>
        <v>1</v>
      </c>
      <c r="F27" s="40">
        <f t="shared" si="2"/>
        <v>0</v>
      </c>
      <c r="G27" s="61">
        <v>0</v>
      </c>
      <c r="H27" s="41">
        <v>0</v>
      </c>
      <c r="I27" s="38">
        <v>24</v>
      </c>
      <c r="J27" s="148">
        <v>310</v>
      </c>
      <c r="K27" s="9"/>
      <c r="L27" s="9"/>
      <c r="M27" s="15">
        <f t="shared" si="3"/>
        <v>64</v>
      </c>
    </row>
    <row r="28" spans="1:13" ht="13.5" x14ac:dyDescent="0.25">
      <c r="A28" s="182">
        <v>17</v>
      </c>
      <c r="B28" s="38">
        <v>86</v>
      </c>
      <c r="C28" s="38">
        <v>42</v>
      </c>
      <c r="D28" s="40">
        <f t="shared" si="0"/>
        <v>64</v>
      </c>
      <c r="E28" s="40">
        <f t="shared" si="1"/>
        <v>1</v>
      </c>
      <c r="F28" s="40">
        <f t="shared" si="2"/>
        <v>0</v>
      </c>
      <c r="G28" s="61">
        <v>0</v>
      </c>
      <c r="H28" s="41">
        <v>0</v>
      </c>
      <c r="I28" s="38">
        <v>23</v>
      </c>
      <c r="J28" s="148">
        <v>150</v>
      </c>
      <c r="K28" s="9"/>
      <c r="L28" s="9"/>
      <c r="M28" s="15">
        <f t="shared" si="3"/>
        <v>64</v>
      </c>
    </row>
    <row r="29" spans="1:13" ht="13.5" x14ac:dyDescent="0.25">
      <c r="A29" s="182">
        <v>18</v>
      </c>
      <c r="B29" s="38">
        <v>91</v>
      </c>
      <c r="C29" s="38">
        <v>56</v>
      </c>
      <c r="D29" s="40">
        <f t="shared" si="0"/>
        <v>73.5</v>
      </c>
      <c r="E29" s="40">
        <f t="shared" si="1"/>
        <v>0</v>
      </c>
      <c r="F29" s="40">
        <f t="shared" si="2"/>
        <v>8.5</v>
      </c>
      <c r="G29" s="61">
        <v>0</v>
      </c>
      <c r="H29" s="41">
        <v>0</v>
      </c>
      <c r="I29" s="38">
        <v>29</v>
      </c>
      <c r="J29" s="148">
        <v>150</v>
      </c>
      <c r="K29" s="9"/>
      <c r="L29" s="9"/>
      <c r="M29" s="15">
        <f t="shared" si="3"/>
        <v>73.5</v>
      </c>
    </row>
    <row r="30" spans="1:13" ht="13.5" x14ac:dyDescent="0.25">
      <c r="A30" s="182">
        <v>19</v>
      </c>
      <c r="B30" s="38">
        <v>86</v>
      </c>
      <c r="C30" s="38">
        <v>58</v>
      </c>
      <c r="D30" s="40">
        <f t="shared" si="0"/>
        <v>72</v>
      </c>
      <c r="E30" s="40">
        <f t="shared" si="1"/>
        <v>0</v>
      </c>
      <c r="F30" s="40">
        <f t="shared" si="2"/>
        <v>7</v>
      </c>
      <c r="G30" s="61">
        <v>0</v>
      </c>
      <c r="H30" s="41">
        <v>0</v>
      </c>
      <c r="I30" s="38">
        <v>34</v>
      </c>
      <c r="J30" s="148">
        <v>360</v>
      </c>
      <c r="K30" s="9"/>
      <c r="L30" s="9"/>
      <c r="M30" s="15">
        <f t="shared" si="3"/>
        <v>72</v>
      </c>
    </row>
    <row r="31" spans="1:13" ht="13.5" x14ac:dyDescent="0.25">
      <c r="A31" s="182">
        <v>20</v>
      </c>
      <c r="B31" s="38">
        <v>73</v>
      </c>
      <c r="C31" s="38">
        <v>45</v>
      </c>
      <c r="D31" s="40">
        <f t="shared" si="0"/>
        <v>59</v>
      </c>
      <c r="E31" s="40">
        <f t="shared" si="1"/>
        <v>6</v>
      </c>
      <c r="F31" s="40">
        <f t="shared" si="2"/>
        <v>0</v>
      </c>
      <c r="G31" s="61">
        <v>0</v>
      </c>
      <c r="H31" s="41">
        <v>0</v>
      </c>
      <c r="I31" s="38">
        <v>22</v>
      </c>
      <c r="J31" s="148">
        <v>10</v>
      </c>
      <c r="K31" s="9"/>
      <c r="L31" s="9"/>
      <c r="M31" s="15">
        <f t="shared" si="3"/>
        <v>59</v>
      </c>
    </row>
    <row r="32" spans="1:13" ht="13.5" x14ac:dyDescent="0.25">
      <c r="A32" s="182">
        <v>21</v>
      </c>
      <c r="B32" s="38">
        <v>81</v>
      </c>
      <c r="C32" s="38">
        <v>45</v>
      </c>
      <c r="D32" s="40">
        <f t="shared" si="0"/>
        <v>63</v>
      </c>
      <c r="E32" s="40">
        <f t="shared" si="1"/>
        <v>2</v>
      </c>
      <c r="F32" s="40">
        <f t="shared" si="2"/>
        <v>0</v>
      </c>
      <c r="G32" s="61">
        <v>0</v>
      </c>
      <c r="H32" s="41">
        <v>0</v>
      </c>
      <c r="I32" s="38">
        <v>26</v>
      </c>
      <c r="J32" s="148">
        <v>170</v>
      </c>
      <c r="K32" s="9"/>
      <c r="L32" s="9"/>
      <c r="M32" s="15">
        <f t="shared" si="3"/>
        <v>63</v>
      </c>
    </row>
    <row r="33" spans="1:13" ht="13.5" x14ac:dyDescent="0.25">
      <c r="A33" s="182">
        <v>22</v>
      </c>
      <c r="B33" s="38">
        <v>87</v>
      </c>
      <c r="C33" s="38">
        <v>54</v>
      </c>
      <c r="D33" s="40">
        <f t="shared" si="0"/>
        <v>70.5</v>
      </c>
      <c r="E33" s="40">
        <f t="shared" si="1"/>
        <v>0</v>
      </c>
      <c r="F33" s="40">
        <f t="shared" si="2"/>
        <v>5.5</v>
      </c>
      <c r="G33" s="61">
        <v>0</v>
      </c>
      <c r="H33" s="41">
        <v>0</v>
      </c>
      <c r="I33" s="38">
        <v>24</v>
      </c>
      <c r="J33" s="149">
        <v>150</v>
      </c>
      <c r="K33" s="9"/>
      <c r="L33" s="9"/>
      <c r="M33" s="15">
        <f t="shared" si="3"/>
        <v>70.5</v>
      </c>
    </row>
    <row r="34" spans="1:13" ht="13.5" x14ac:dyDescent="0.25">
      <c r="A34" s="182">
        <v>23</v>
      </c>
      <c r="B34" s="38">
        <v>90</v>
      </c>
      <c r="C34" s="38">
        <v>62</v>
      </c>
      <c r="D34" s="40">
        <f t="shared" si="0"/>
        <v>76</v>
      </c>
      <c r="E34" s="40">
        <f t="shared" si="1"/>
        <v>0</v>
      </c>
      <c r="F34" s="40">
        <f t="shared" si="2"/>
        <v>11</v>
      </c>
      <c r="G34" s="61">
        <v>0.81</v>
      </c>
      <c r="H34" s="41">
        <v>0</v>
      </c>
      <c r="I34" s="38">
        <v>18</v>
      </c>
      <c r="J34" s="148">
        <v>170</v>
      </c>
      <c r="K34" s="9"/>
      <c r="L34" s="9"/>
      <c r="M34" s="15">
        <f t="shared" si="3"/>
        <v>76</v>
      </c>
    </row>
    <row r="35" spans="1:13" ht="13.5" x14ac:dyDescent="0.25">
      <c r="A35" s="182">
        <v>24</v>
      </c>
      <c r="B35" s="38">
        <v>88</v>
      </c>
      <c r="C35" s="38">
        <v>59</v>
      </c>
      <c r="D35" s="40">
        <f t="shared" si="0"/>
        <v>73.5</v>
      </c>
      <c r="E35" s="40">
        <f t="shared" si="1"/>
        <v>0</v>
      </c>
      <c r="F35" s="40">
        <f t="shared" si="2"/>
        <v>8.5</v>
      </c>
      <c r="G35" s="61">
        <v>0</v>
      </c>
      <c r="H35" s="41">
        <v>0</v>
      </c>
      <c r="I35" s="38">
        <v>15</v>
      </c>
      <c r="J35" s="148">
        <v>20</v>
      </c>
      <c r="K35" s="9"/>
      <c r="L35" s="9"/>
      <c r="M35" s="15">
        <f t="shared" si="3"/>
        <v>73.5</v>
      </c>
    </row>
    <row r="36" spans="1:13" ht="13.5" x14ac:dyDescent="0.25">
      <c r="A36" s="182">
        <v>25</v>
      </c>
      <c r="B36" s="38">
        <v>91</v>
      </c>
      <c r="C36" s="38">
        <v>62</v>
      </c>
      <c r="D36" s="40">
        <f t="shared" si="0"/>
        <v>76.5</v>
      </c>
      <c r="E36" s="40">
        <f t="shared" si="1"/>
        <v>0</v>
      </c>
      <c r="F36" s="40">
        <f t="shared" si="2"/>
        <v>11.5</v>
      </c>
      <c r="G36" s="61">
        <v>0</v>
      </c>
      <c r="H36" s="41">
        <v>0</v>
      </c>
      <c r="I36" s="38">
        <v>19</v>
      </c>
      <c r="J36" s="149">
        <v>110</v>
      </c>
      <c r="K36" s="9"/>
      <c r="L36" s="9"/>
      <c r="M36" s="15">
        <f t="shared" si="3"/>
        <v>76.5</v>
      </c>
    </row>
    <row r="37" spans="1:13" ht="13.5" x14ac:dyDescent="0.25">
      <c r="A37" s="182">
        <v>26</v>
      </c>
      <c r="B37" s="38">
        <v>83</v>
      </c>
      <c r="C37" s="38">
        <v>65</v>
      </c>
      <c r="D37" s="40">
        <f t="shared" si="0"/>
        <v>74</v>
      </c>
      <c r="E37" s="40">
        <f t="shared" si="1"/>
        <v>0</v>
      </c>
      <c r="F37" s="40">
        <f t="shared" si="2"/>
        <v>9</v>
      </c>
      <c r="G37" s="61">
        <v>1.04</v>
      </c>
      <c r="H37" s="41">
        <v>0</v>
      </c>
      <c r="I37" s="38">
        <v>36</v>
      </c>
      <c r="J37" s="148">
        <v>90</v>
      </c>
      <c r="K37" s="9"/>
      <c r="L37" s="9"/>
      <c r="M37" s="15">
        <f t="shared" si="3"/>
        <v>74</v>
      </c>
    </row>
    <row r="38" spans="1:13" ht="13.5" x14ac:dyDescent="0.25">
      <c r="A38" s="182">
        <v>27</v>
      </c>
      <c r="B38" s="38">
        <v>69</v>
      </c>
      <c r="C38" s="38">
        <v>63</v>
      </c>
      <c r="D38" s="40">
        <f t="shared" si="0"/>
        <v>66</v>
      </c>
      <c r="E38" s="40">
        <f t="shared" si="1"/>
        <v>0</v>
      </c>
      <c r="F38" s="40">
        <f t="shared" si="2"/>
        <v>1</v>
      </c>
      <c r="G38" s="61">
        <v>0.28000000000000003</v>
      </c>
      <c r="H38" s="41">
        <v>0</v>
      </c>
      <c r="I38" s="38">
        <v>21</v>
      </c>
      <c r="J38" s="148">
        <v>100</v>
      </c>
      <c r="K38" s="9"/>
      <c r="L38" s="9"/>
      <c r="M38" s="15">
        <f t="shared" si="3"/>
        <v>66</v>
      </c>
    </row>
    <row r="39" spans="1:13" ht="13.5" x14ac:dyDescent="0.25">
      <c r="A39" s="182">
        <v>28</v>
      </c>
      <c r="B39" s="38">
        <v>79</v>
      </c>
      <c r="C39" s="38">
        <v>64</v>
      </c>
      <c r="D39" s="40">
        <f t="shared" si="0"/>
        <v>71.5</v>
      </c>
      <c r="E39" s="40">
        <f t="shared" si="1"/>
        <v>0</v>
      </c>
      <c r="F39" s="40">
        <f t="shared" si="2"/>
        <v>6.5</v>
      </c>
      <c r="G39" s="61">
        <v>0.03</v>
      </c>
      <c r="H39" s="41">
        <v>0</v>
      </c>
      <c r="I39" s="38">
        <v>17</v>
      </c>
      <c r="J39" s="148">
        <v>160</v>
      </c>
      <c r="K39" s="9"/>
      <c r="L39" s="9"/>
      <c r="M39" s="15">
        <f t="shared" si="3"/>
        <v>71.5</v>
      </c>
    </row>
    <row r="40" spans="1:13" ht="13.5" x14ac:dyDescent="0.25">
      <c r="A40" s="182">
        <v>29</v>
      </c>
      <c r="B40" s="38">
        <v>90</v>
      </c>
      <c r="C40" s="38">
        <v>67</v>
      </c>
      <c r="D40" s="40">
        <f t="shared" si="0"/>
        <v>78.5</v>
      </c>
      <c r="E40" s="40">
        <f t="shared" si="1"/>
        <v>0</v>
      </c>
      <c r="F40" s="40">
        <f t="shared" si="2"/>
        <v>13.5</v>
      </c>
      <c r="G40" s="61">
        <v>0</v>
      </c>
      <c r="H40" s="41">
        <v>0</v>
      </c>
      <c r="I40" s="38">
        <v>19</v>
      </c>
      <c r="J40" s="148">
        <v>140</v>
      </c>
      <c r="K40" s="9"/>
      <c r="L40" s="9"/>
      <c r="M40" s="15">
        <f t="shared" si="3"/>
        <v>78.5</v>
      </c>
    </row>
    <row r="41" spans="1:13" ht="13.5" x14ac:dyDescent="0.25">
      <c r="A41" s="182">
        <v>30</v>
      </c>
      <c r="B41" s="38">
        <v>83</v>
      </c>
      <c r="C41" s="38">
        <v>70</v>
      </c>
      <c r="D41" s="40">
        <f t="shared" si="0"/>
        <v>76.5</v>
      </c>
      <c r="E41" s="40">
        <f t="shared" si="1"/>
        <v>0</v>
      </c>
      <c r="F41" s="40">
        <f t="shared" si="2"/>
        <v>11.5</v>
      </c>
      <c r="G41" s="61">
        <v>0.01</v>
      </c>
      <c r="H41" s="41">
        <v>0</v>
      </c>
      <c r="I41" s="38">
        <v>16</v>
      </c>
      <c r="J41" s="148">
        <v>130</v>
      </c>
      <c r="K41" s="9"/>
      <c r="L41" s="9"/>
      <c r="M41" s="15">
        <f t="shared" si="3"/>
        <v>76.5</v>
      </c>
    </row>
    <row r="42" spans="1:13" ht="13.5" x14ac:dyDescent="0.25">
      <c r="A42" s="184">
        <v>31</v>
      </c>
      <c r="B42" s="153">
        <v>89</v>
      </c>
      <c r="C42" s="153">
        <v>68</v>
      </c>
      <c r="D42" s="167">
        <f t="shared" si="0"/>
        <v>78.5</v>
      </c>
      <c r="E42" s="167">
        <f t="shared" si="1"/>
        <v>0</v>
      </c>
      <c r="F42" s="167">
        <f t="shared" si="2"/>
        <v>13.5</v>
      </c>
      <c r="G42" s="151">
        <v>0.37</v>
      </c>
      <c r="H42" s="152">
        <v>0</v>
      </c>
      <c r="I42" s="153">
        <v>32</v>
      </c>
      <c r="J42" s="154">
        <v>320</v>
      </c>
      <c r="K42" s="9"/>
      <c r="L42" s="9"/>
      <c r="M42" s="15">
        <f t="shared" si="3"/>
        <v>78.5</v>
      </c>
    </row>
    <row r="43" spans="1:13" ht="13.5" x14ac:dyDescent="0.25">
      <c r="A43" s="174" t="s">
        <v>24</v>
      </c>
      <c r="B43" s="35" t="s">
        <v>25</v>
      </c>
      <c r="C43" s="35" t="s">
        <v>25</v>
      </c>
      <c r="D43" s="40">
        <f>SUM(D12:D42)</f>
        <v>2164</v>
      </c>
      <c r="E43" s="40">
        <f>SUM(E12:E42)</f>
        <v>29.5</v>
      </c>
      <c r="F43" s="40">
        <f>SUM(F12:F42)</f>
        <v>178.5</v>
      </c>
      <c r="G43" s="155">
        <f>SUM(G12:G42)</f>
        <v>2.59</v>
      </c>
      <c r="H43" s="41">
        <v>0</v>
      </c>
      <c r="I43" s="40" t="s">
        <v>25</v>
      </c>
      <c r="J43" s="156" t="s">
        <v>25</v>
      </c>
      <c r="K43" s="9"/>
      <c r="L43" s="9"/>
      <c r="M43" s="15">
        <f>IF(D43=0,65,D43)</f>
        <v>2164</v>
      </c>
    </row>
    <row r="44" spans="1:13" ht="13.5" x14ac:dyDescent="0.25">
      <c r="A44" s="174" t="s">
        <v>26</v>
      </c>
      <c r="B44" s="35">
        <f>MAXA(B12:B42)</f>
        <v>97</v>
      </c>
      <c r="C44" s="35">
        <f>MINA(C12:C42)</f>
        <v>38</v>
      </c>
      <c r="D44" s="40">
        <f>(B44+C44)/2</f>
        <v>67.5</v>
      </c>
      <c r="E44" s="40">
        <f>IF(65-D44&gt;0,65-M44,0)</f>
        <v>0</v>
      </c>
      <c r="F44" s="40">
        <f>IF((D44)-65&lt;0,0,(D44)-65)</f>
        <v>2.5</v>
      </c>
      <c r="G44" s="155">
        <f>MAXA(G12:G42)</f>
        <v>1.04</v>
      </c>
      <c r="H44" s="61">
        <v>0</v>
      </c>
      <c r="I44" s="35">
        <f>MAXA(I12:I42)</f>
        <v>41</v>
      </c>
      <c r="J44" s="147">
        <v>290</v>
      </c>
      <c r="K44" s="9"/>
      <c r="L44" s="9"/>
      <c r="M44" s="9"/>
    </row>
    <row r="45" spans="1:13" ht="13.5" x14ac:dyDescent="0.25">
      <c r="A45" s="174" t="s">
        <v>27</v>
      </c>
      <c r="B45" s="40">
        <f>AVERAGEA(B12:B42)</f>
        <v>83.870967741935488</v>
      </c>
      <c r="C45" s="40">
        <f>AVERAGEA(C12:C42)</f>
        <v>55.741935483870968</v>
      </c>
      <c r="D45" s="40">
        <f>(B45+C45)/2</f>
        <v>69.806451612903231</v>
      </c>
      <c r="E45" s="40">
        <f>IF(65-D45&gt;0,65-M45,0)</f>
        <v>0</v>
      </c>
      <c r="F45" s="40">
        <f>IF((D45)-65&lt;0,0,(D45)-65)</f>
        <v>4.8064516129032313</v>
      </c>
      <c r="G45" s="155">
        <f>AVERAGEA(G12:G42)</f>
        <v>8.3548387096774188E-2</v>
      </c>
      <c r="H45" s="41">
        <f>AVERAGEA(H12:H42)</f>
        <v>0</v>
      </c>
      <c r="I45" s="40">
        <f>AVERAGEA(I12:I42)</f>
        <v>24.451612903225808</v>
      </c>
      <c r="J45" s="156">
        <f>AVERAGEA(J12:J42)</f>
        <v>191.29032258064515</v>
      </c>
      <c r="K45" s="9"/>
      <c r="L45" s="9"/>
      <c r="M45" s="9"/>
    </row>
    <row r="46" spans="1:13" ht="13.5" x14ac:dyDescent="0.25">
      <c r="A46" s="174" t="s">
        <v>28</v>
      </c>
      <c r="B46" s="35">
        <v>101</v>
      </c>
      <c r="C46" s="35">
        <v>21</v>
      </c>
      <c r="D46" s="40">
        <v>65</v>
      </c>
      <c r="E46" s="40">
        <f>AVERAGEA(E13:E42)</f>
        <v>0.98333333333333328</v>
      </c>
      <c r="F46" s="40">
        <f>AVERAGEA(F13:F42)</f>
        <v>5.9</v>
      </c>
      <c r="G46" s="155">
        <v>1.6</v>
      </c>
      <c r="H46" s="41" t="s">
        <v>25</v>
      </c>
      <c r="I46" s="35">
        <v>9</v>
      </c>
      <c r="J46" s="156">
        <v>140</v>
      </c>
      <c r="K46" s="9"/>
      <c r="L46" s="9"/>
      <c r="M46" s="9"/>
    </row>
    <row r="47" spans="1:13" ht="13.5" x14ac:dyDescent="0.25">
      <c r="A47" s="174" t="s">
        <v>29</v>
      </c>
      <c r="B47" s="35"/>
      <c r="C47" s="35"/>
      <c r="D47" s="40"/>
      <c r="E47" s="175"/>
      <c r="F47" s="175"/>
      <c r="G47" s="155">
        <f>(G43-G46)</f>
        <v>0.98999999999999977</v>
      </c>
      <c r="H47" s="41"/>
      <c r="I47" s="35"/>
      <c r="J47" s="156"/>
      <c r="K47" s="9"/>
      <c r="L47" s="9"/>
      <c r="M47" s="9"/>
    </row>
    <row r="48" spans="1:13" ht="13.5" x14ac:dyDescent="0.25">
      <c r="A48" s="158" t="s">
        <v>63</v>
      </c>
      <c r="B48" s="150"/>
      <c r="C48" s="150"/>
      <c r="D48" s="150"/>
      <c r="E48" s="150"/>
      <c r="F48" s="150"/>
      <c r="G48" s="150"/>
      <c r="H48" s="150" t="s">
        <v>74</v>
      </c>
      <c r="I48" s="150"/>
      <c r="J48" s="176"/>
      <c r="K48" s="9"/>
      <c r="L48" s="9"/>
      <c r="M48" s="9"/>
    </row>
    <row r="49" spans="1:13" ht="14.25" thickBot="1" x14ac:dyDescent="0.3">
      <c r="A49" s="159"/>
      <c r="B49" s="160"/>
      <c r="C49" s="160"/>
      <c r="D49" s="160"/>
      <c r="E49" s="160"/>
      <c r="F49" s="160"/>
      <c r="G49" s="160"/>
      <c r="H49" s="160"/>
      <c r="I49" s="160"/>
      <c r="J49" s="52"/>
      <c r="K49" s="9"/>
      <c r="L49" s="9"/>
      <c r="M49" s="9"/>
    </row>
    <row r="50" spans="1:13" ht="13.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2" spans="1:13" x14ac:dyDescent="0.2">
      <c r="A52" s="203"/>
      <c r="B52" s="227" t="s">
        <v>31</v>
      </c>
      <c r="C52" s="227"/>
      <c r="D52" s="227"/>
      <c r="E52" s="227"/>
      <c r="F52" s="227"/>
      <c r="G52" s="227" t="s">
        <v>72</v>
      </c>
      <c r="H52" s="227"/>
      <c r="I52" s="227"/>
      <c r="J52" s="203" t="s">
        <v>73</v>
      </c>
    </row>
    <row r="53" spans="1:13" ht="25.5" x14ac:dyDescent="0.2">
      <c r="A53" s="203"/>
      <c r="B53" s="205" t="s">
        <v>66</v>
      </c>
      <c r="C53" s="205" t="s">
        <v>67</v>
      </c>
      <c r="D53" s="203" t="s">
        <v>16</v>
      </c>
      <c r="E53" s="205" t="s">
        <v>69</v>
      </c>
      <c r="F53" s="205" t="s">
        <v>68</v>
      </c>
      <c r="G53" s="205" t="s">
        <v>12</v>
      </c>
      <c r="H53" s="203" t="s">
        <v>16</v>
      </c>
      <c r="I53" s="205" t="s">
        <v>71</v>
      </c>
      <c r="J53" s="205" t="s">
        <v>70</v>
      </c>
    </row>
    <row r="54" spans="1:13" ht="25.5" x14ac:dyDescent="0.2">
      <c r="A54" s="205" t="s">
        <v>64</v>
      </c>
      <c r="B54" s="35">
        <f>MAXA(B12:B42)</f>
        <v>97</v>
      </c>
      <c r="C54" s="40">
        <f>AVERAGEA(B12:B42)</f>
        <v>83.870967741935488</v>
      </c>
      <c r="D54" s="40">
        <f>(B45+C45)/2</f>
        <v>69.806451612903231</v>
      </c>
      <c r="E54" s="40">
        <f>AVERAGEA(C12:C42)</f>
        <v>55.741935483870968</v>
      </c>
      <c r="F54" s="35">
        <f>MINA(C12:C42)</f>
        <v>38</v>
      </c>
      <c r="G54" s="61">
        <f>SUM(G12:G40)</f>
        <v>2.21</v>
      </c>
      <c r="H54" s="155">
        <f>AVERAGEA(G12:G42)</f>
        <v>8.3548387096774188E-2</v>
      </c>
      <c r="I54" s="61">
        <f>MAXA(G12:G40)</f>
        <v>1.04</v>
      </c>
      <c r="J54" s="206">
        <f>MAXA(I12:I40)</f>
        <v>41</v>
      </c>
    </row>
    <row r="55" spans="1:13" x14ac:dyDescent="0.2">
      <c r="A55" s="203" t="s">
        <v>65</v>
      </c>
      <c r="B55" s="204">
        <v>101</v>
      </c>
      <c r="C55" s="204">
        <v>76</v>
      </c>
      <c r="D55" s="204">
        <v>65</v>
      </c>
      <c r="E55" s="204">
        <v>55</v>
      </c>
      <c r="F55" s="204">
        <v>21</v>
      </c>
      <c r="G55" s="204">
        <v>6.6</v>
      </c>
      <c r="H55" s="204">
        <v>1.6</v>
      </c>
      <c r="I55" s="204">
        <v>3.3</v>
      </c>
      <c r="J55" s="204">
        <v>58</v>
      </c>
    </row>
  </sheetData>
  <mergeCells count="2">
    <mergeCell ref="B52:F52"/>
    <mergeCell ref="G52:I52"/>
  </mergeCells>
  <phoneticPr fontId="0" type="noConversion"/>
  <conditionalFormatting sqref="B54">
    <cfRule type="cellIs" dxfId="89" priority="1" stopIfTrue="1" operator="greaterThan">
      <formula>$B$55</formula>
    </cfRule>
  </conditionalFormatting>
  <conditionalFormatting sqref="C54">
    <cfRule type="cellIs" dxfId="88" priority="2" stopIfTrue="1" operator="greaterThan">
      <formula>$C$55</formula>
    </cfRule>
  </conditionalFormatting>
  <conditionalFormatting sqref="D54">
    <cfRule type="cellIs" dxfId="87" priority="3" stopIfTrue="1" operator="lessThanOrEqual">
      <formula>$C$55</formula>
    </cfRule>
    <cfRule type="cellIs" priority="4" stopIfTrue="1" operator="greaterThan">
      <formula>$D$55</formula>
    </cfRule>
  </conditionalFormatting>
  <conditionalFormatting sqref="E54">
    <cfRule type="cellIs" dxfId="86" priority="5" stopIfTrue="1" operator="lessThan">
      <formula>$E$55</formula>
    </cfRule>
  </conditionalFormatting>
  <conditionalFormatting sqref="F54">
    <cfRule type="cellIs" dxfId="85" priority="6" stopIfTrue="1" operator="lessThan">
      <formula>$F$55</formula>
    </cfRule>
  </conditionalFormatting>
  <conditionalFormatting sqref="G54">
    <cfRule type="cellIs" dxfId="84" priority="7" stopIfTrue="1" operator="greaterThan">
      <formula>$G$55</formula>
    </cfRule>
  </conditionalFormatting>
  <conditionalFormatting sqref="I54">
    <cfRule type="cellIs" dxfId="83" priority="8" stopIfTrue="1" operator="greaterThan">
      <formula>$I$55</formula>
    </cfRule>
  </conditionalFormatting>
  <conditionalFormatting sqref="J54">
    <cfRule type="cellIs" dxfId="82" priority="9" stopIfTrue="1" operator="greaterThan">
      <formula>$J$55</formula>
    </cfRule>
  </conditionalFormatting>
  <pageMargins left="1.29" right="0.5" top="0.89" bottom="0.75" header="0.5" footer="0.5"/>
  <pageSetup scale="9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3346-309B-492E-B015-728FD89D343B}">
  <sheetPr codeName="Sheet4">
    <pageSetUpPr fitToPage="1"/>
  </sheetPr>
  <dimension ref="A1:M54"/>
  <sheetViews>
    <sheetView zoomScaleNormal="100" workbookViewId="0">
      <selection activeCell="E24" sqref="E24"/>
    </sheetView>
  </sheetViews>
  <sheetFormatPr defaultRowHeight="12.75" x14ac:dyDescent="0.2"/>
  <sheetData>
    <row r="1" spans="1:13" ht="13.5" thickBot="1" x14ac:dyDescent="0.25">
      <c r="A1" s="1"/>
      <c r="B1" s="2"/>
      <c r="C1" s="2"/>
      <c r="D1" s="2"/>
      <c r="E1" s="2"/>
      <c r="F1" s="2"/>
      <c r="G1" s="2"/>
      <c r="H1" s="2"/>
      <c r="I1" s="2"/>
      <c r="J1" s="3"/>
    </row>
    <row r="2" spans="1:13" ht="15.75" x14ac:dyDescent="0.25">
      <c r="A2" s="75" t="s">
        <v>79</v>
      </c>
      <c r="B2" s="65"/>
      <c r="C2" s="76"/>
      <c r="D2" s="77"/>
      <c r="E2" s="77"/>
      <c r="F2" s="77"/>
      <c r="G2" s="77"/>
      <c r="H2" s="77"/>
      <c r="I2" s="77"/>
      <c r="J2" s="78"/>
      <c r="K2" s="4"/>
      <c r="L2" s="4"/>
      <c r="M2" s="4"/>
    </row>
    <row r="3" spans="1:13" ht="15.75" x14ac:dyDescent="0.25">
      <c r="A3" s="67" t="s">
        <v>0</v>
      </c>
      <c r="B3" s="63"/>
      <c r="C3" s="68"/>
      <c r="D3" s="69"/>
      <c r="E3" s="69"/>
      <c r="F3" s="69"/>
      <c r="G3" s="69"/>
      <c r="H3" s="69"/>
      <c r="I3" s="63"/>
      <c r="J3" s="70"/>
      <c r="K3" s="4"/>
      <c r="L3" s="4"/>
      <c r="M3" s="4"/>
    </row>
    <row r="4" spans="1:13" ht="15.75" x14ac:dyDescent="0.25">
      <c r="A4" s="71" t="s">
        <v>1</v>
      </c>
      <c r="B4" s="63"/>
      <c r="C4" s="68"/>
      <c r="D4" s="69"/>
      <c r="E4" s="69"/>
      <c r="F4" s="72"/>
      <c r="G4" s="69"/>
      <c r="H4" s="69"/>
      <c r="I4" s="63"/>
      <c r="J4" s="70"/>
      <c r="K4" s="4"/>
      <c r="L4" s="4"/>
      <c r="M4" s="4"/>
    </row>
    <row r="5" spans="1:13" ht="15.75" x14ac:dyDescent="0.25">
      <c r="A5" s="73" t="s">
        <v>84</v>
      </c>
      <c r="B5" s="69"/>
      <c r="C5" s="74"/>
      <c r="D5" s="69"/>
      <c r="E5" s="69"/>
      <c r="F5" s="69"/>
      <c r="G5" s="69"/>
      <c r="H5" s="69"/>
      <c r="I5" s="69"/>
      <c r="J5" s="70"/>
      <c r="K5" s="4"/>
      <c r="L5" s="4"/>
      <c r="M5" s="4"/>
    </row>
    <row r="6" spans="1:13" ht="16.5" thickBot="1" x14ac:dyDescent="0.3">
      <c r="A6" s="5"/>
      <c r="B6" s="6"/>
      <c r="C6" s="6"/>
      <c r="D6" s="7"/>
      <c r="E6" s="7"/>
      <c r="F6" s="7"/>
      <c r="G6" s="7"/>
      <c r="H6" s="7"/>
      <c r="I6" s="7"/>
      <c r="J6" s="8"/>
      <c r="K6" s="58"/>
      <c r="L6" s="58"/>
      <c r="M6" s="4"/>
    </row>
    <row r="7" spans="1:13" ht="13.5" x14ac:dyDescent="0.25">
      <c r="A7" s="82"/>
      <c r="B7" s="83" t="s">
        <v>2</v>
      </c>
      <c r="C7" s="84"/>
      <c r="D7" s="84"/>
      <c r="E7" s="84"/>
      <c r="F7" s="84"/>
      <c r="G7" s="85" t="s">
        <v>3</v>
      </c>
      <c r="H7" s="84"/>
      <c r="I7" s="83" t="s">
        <v>4</v>
      </c>
      <c r="J7" s="86"/>
      <c r="K7" s="9"/>
      <c r="L7" s="9"/>
      <c r="M7" s="9"/>
    </row>
    <row r="8" spans="1:13" ht="13.5" x14ac:dyDescent="0.25">
      <c r="A8" s="82"/>
      <c r="B8" s="84"/>
      <c r="C8" s="84"/>
      <c r="D8" s="85" t="s">
        <v>5</v>
      </c>
      <c r="E8" s="84"/>
      <c r="F8" s="84"/>
      <c r="G8" s="83" t="s">
        <v>6</v>
      </c>
      <c r="H8" s="143" t="s">
        <v>7</v>
      </c>
      <c r="I8" s="84"/>
      <c r="J8" s="86"/>
      <c r="K8" s="9"/>
      <c r="L8" s="9"/>
      <c r="M8" s="9"/>
    </row>
    <row r="9" spans="1:13" ht="13.5" x14ac:dyDescent="0.25">
      <c r="A9" s="82"/>
      <c r="B9" s="85" t="s">
        <v>8</v>
      </c>
      <c r="C9" s="84"/>
      <c r="D9" s="85" t="s">
        <v>9</v>
      </c>
      <c r="E9" s="84"/>
      <c r="F9" s="84"/>
      <c r="G9" s="83" t="s">
        <v>10</v>
      </c>
      <c r="H9" s="143" t="s">
        <v>11</v>
      </c>
      <c r="I9" s="143" t="s">
        <v>12</v>
      </c>
      <c r="J9" s="177" t="s">
        <v>13</v>
      </c>
      <c r="K9" s="9"/>
      <c r="L9" s="9"/>
      <c r="M9" s="9"/>
    </row>
    <row r="10" spans="1:13" ht="13.5" x14ac:dyDescent="0.25">
      <c r="A10" s="178" t="s">
        <v>14</v>
      </c>
      <c r="B10" s="143" t="s">
        <v>12</v>
      </c>
      <c r="C10" s="143" t="s">
        <v>15</v>
      </c>
      <c r="D10" s="143" t="s">
        <v>16</v>
      </c>
      <c r="E10" s="143" t="s">
        <v>17</v>
      </c>
      <c r="F10" s="143" t="s">
        <v>18</v>
      </c>
      <c r="G10" s="83" t="s">
        <v>19</v>
      </c>
      <c r="H10" s="143" t="s">
        <v>20</v>
      </c>
      <c r="I10" s="143" t="s">
        <v>21</v>
      </c>
      <c r="J10" s="92" t="s">
        <v>22</v>
      </c>
      <c r="K10" s="10" t="s">
        <v>23</v>
      </c>
      <c r="L10" s="9"/>
      <c r="M10" s="9"/>
    </row>
    <row r="11" spans="1:13" ht="14.25" thickBot="1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3"/>
      <c r="K11" s="60"/>
      <c r="L11" s="59"/>
      <c r="M11" s="9"/>
    </row>
    <row r="12" spans="1:13" ht="13.5" x14ac:dyDescent="0.25">
      <c r="A12" s="39">
        <v>1</v>
      </c>
      <c r="B12" s="35">
        <v>88</v>
      </c>
      <c r="C12" s="35">
        <v>67</v>
      </c>
      <c r="D12" s="40">
        <f t="shared" ref="D12:D40" si="0">(B12+C12)/2</f>
        <v>77.5</v>
      </c>
      <c r="E12" s="40">
        <f t="shared" ref="E12:E40" si="1">IF(65-D12&gt;0,65-M12,0)</f>
        <v>0</v>
      </c>
      <c r="F12" s="40">
        <f t="shared" ref="F12:F40" si="2">IF((D12)-65&lt;0,0,(D12)-65)</f>
        <v>12.5</v>
      </c>
      <c r="G12" s="146">
        <v>0</v>
      </c>
      <c r="H12" s="41">
        <v>0</v>
      </c>
      <c r="I12" s="35">
        <v>26</v>
      </c>
      <c r="J12" s="147">
        <v>140</v>
      </c>
      <c r="K12" s="9"/>
      <c r="L12" s="9"/>
      <c r="M12" s="15">
        <f t="shared" ref="M12:M40" si="3">IF(D12=0,65,D12)</f>
        <v>77.5</v>
      </c>
    </row>
    <row r="13" spans="1:13" ht="13.5" x14ac:dyDescent="0.25">
      <c r="A13" s="39">
        <v>2</v>
      </c>
      <c r="B13" s="35">
        <v>90</v>
      </c>
      <c r="C13" s="35">
        <v>74</v>
      </c>
      <c r="D13" s="40">
        <f t="shared" si="0"/>
        <v>82</v>
      </c>
      <c r="E13" s="40">
        <f t="shared" si="1"/>
        <v>0</v>
      </c>
      <c r="F13" s="40">
        <f t="shared" si="2"/>
        <v>17</v>
      </c>
      <c r="G13" s="61">
        <v>0</v>
      </c>
      <c r="H13" s="41">
        <v>0</v>
      </c>
      <c r="I13" s="35">
        <v>18</v>
      </c>
      <c r="J13" s="147">
        <v>170</v>
      </c>
      <c r="K13" s="9"/>
      <c r="L13" s="9"/>
      <c r="M13" s="15">
        <f t="shared" si="3"/>
        <v>82</v>
      </c>
    </row>
    <row r="14" spans="1:13" ht="13.5" x14ac:dyDescent="0.25">
      <c r="A14" s="39">
        <v>3</v>
      </c>
      <c r="B14" s="35">
        <v>94</v>
      </c>
      <c r="C14" s="35">
        <v>75</v>
      </c>
      <c r="D14" s="40">
        <f t="shared" si="0"/>
        <v>84.5</v>
      </c>
      <c r="E14" s="40">
        <f t="shared" si="1"/>
        <v>0</v>
      </c>
      <c r="F14" s="40">
        <f t="shared" si="2"/>
        <v>19.5</v>
      </c>
      <c r="G14" s="61">
        <v>0</v>
      </c>
      <c r="H14" s="41">
        <v>0</v>
      </c>
      <c r="I14" s="35">
        <v>24</v>
      </c>
      <c r="J14" s="147">
        <v>120</v>
      </c>
      <c r="K14" s="9"/>
      <c r="L14" s="9"/>
      <c r="M14" s="15">
        <f t="shared" si="3"/>
        <v>84.5</v>
      </c>
    </row>
    <row r="15" spans="1:13" ht="13.5" x14ac:dyDescent="0.25">
      <c r="A15" s="39">
        <v>4</v>
      </c>
      <c r="B15" s="35">
        <v>92</v>
      </c>
      <c r="C15" s="35">
        <v>76</v>
      </c>
      <c r="D15" s="40">
        <f t="shared" si="0"/>
        <v>84</v>
      </c>
      <c r="E15" s="40">
        <f t="shared" si="1"/>
        <v>0</v>
      </c>
      <c r="F15" s="40">
        <f t="shared" si="2"/>
        <v>19</v>
      </c>
      <c r="G15" s="61">
        <v>0.05</v>
      </c>
      <c r="H15" s="41">
        <v>0</v>
      </c>
      <c r="I15" s="35">
        <v>25</v>
      </c>
      <c r="J15" s="147">
        <v>130</v>
      </c>
      <c r="K15" s="9"/>
      <c r="L15" s="9"/>
      <c r="M15" s="15">
        <f t="shared" si="3"/>
        <v>84</v>
      </c>
    </row>
    <row r="16" spans="1:13" ht="13.5" x14ac:dyDescent="0.25">
      <c r="A16" s="39">
        <v>5</v>
      </c>
      <c r="B16" s="35">
        <v>77</v>
      </c>
      <c r="C16" s="35">
        <v>53</v>
      </c>
      <c r="D16" s="40">
        <f t="shared" si="0"/>
        <v>65</v>
      </c>
      <c r="E16" s="40">
        <f t="shared" si="1"/>
        <v>0</v>
      </c>
      <c r="F16" s="40">
        <f t="shared" si="2"/>
        <v>0</v>
      </c>
      <c r="G16" s="61">
        <v>0.14000000000000001</v>
      </c>
      <c r="H16" s="41">
        <v>0</v>
      </c>
      <c r="I16" s="35">
        <v>32</v>
      </c>
      <c r="J16" s="147">
        <v>340</v>
      </c>
      <c r="K16" s="9"/>
      <c r="L16" s="9"/>
      <c r="M16" s="15">
        <f t="shared" si="3"/>
        <v>65</v>
      </c>
    </row>
    <row r="17" spans="1:13" ht="13.5" x14ac:dyDescent="0.25">
      <c r="A17" s="39">
        <v>6</v>
      </c>
      <c r="B17" s="35">
        <v>63</v>
      </c>
      <c r="C17" s="35">
        <v>46</v>
      </c>
      <c r="D17" s="40">
        <f t="shared" si="0"/>
        <v>54.5</v>
      </c>
      <c r="E17" s="40">
        <f t="shared" si="1"/>
        <v>10.5</v>
      </c>
      <c r="F17" s="40">
        <f t="shared" si="2"/>
        <v>0</v>
      </c>
      <c r="G17" s="61">
        <v>0</v>
      </c>
      <c r="H17" s="41">
        <v>0</v>
      </c>
      <c r="I17" s="35">
        <v>30</v>
      </c>
      <c r="J17" s="148">
        <v>330</v>
      </c>
      <c r="K17" s="9"/>
      <c r="L17" s="9"/>
      <c r="M17" s="15">
        <f t="shared" si="3"/>
        <v>54.5</v>
      </c>
    </row>
    <row r="18" spans="1:13" ht="13.5" x14ac:dyDescent="0.25">
      <c r="A18" s="39">
        <v>7</v>
      </c>
      <c r="B18" s="38">
        <v>75</v>
      </c>
      <c r="C18" s="38">
        <v>40</v>
      </c>
      <c r="D18" s="40">
        <f t="shared" si="0"/>
        <v>57.5</v>
      </c>
      <c r="E18" s="40">
        <f t="shared" si="1"/>
        <v>7.5</v>
      </c>
      <c r="F18" s="40">
        <f t="shared" si="2"/>
        <v>0</v>
      </c>
      <c r="G18" s="61">
        <v>0</v>
      </c>
      <c r="H18" s="41">
        <v>0</v>
      </c>
      <c r="I18" s="38">
        <v>18</v>
      </c>
      <c r="J18" s="224">
        <v>360</v>
      </c>
      <c r="K18" s="9"/>
      <c r="L18" s="9"/>
      <c r="M18" s="15">
        <f t="shared" si="3"/>
        <v>57.5</v>
      </c>
    </row>
    <row r="19" spans="1:13" ht="13.5" x14ac:dyDescent="0.25">
      <c r="A19" s="39">
        <v>8</v>
      </c>
      <c r="B19" s="38">
        <v>82</v>
      </c>
      <c r="C19" s="38">
        <v>42</v>
      </c>
      <c r="D19" s="40">
        <f t="shared" si="0"/>
        <v>62</v>
      </c>
      <c r="E19" s="40">
        <f t="shared" si="1"/>
        <v>3</v>
      </c>
      <c r="F19" s="40">
        <f t="shared" si="2"/>
        <v>0</v>
      </c>
      <c r="G19" s="61">
        <v>0</v>
      </c>
      <c r="H19" s="41">
        <v>0</v>
      </c>
      <c r="I19" s="38">
        <v>17</v>
      </c>
      <c r="J19" s="148">
        <v>150</v>
      </c>
      <c r="K19" s="9"/>
      <c r="L19" s="9"/>
      <c r="M19" s="15">
        <f t="shared" si="3"/>
        <v>62</v>
      </c>
    </row>
    <row r="20" spans="1:13" ht="13.5" x14ac:dyDescent="0.25">
      <c r="A20" s="39">
        <v>9</v>
      </c>
      <c r="B20" s="38">
        <v>88</v>
      </c>
      <c r="C20" s="38">
        <v>51</v>
      </c>
      <c r="D20" s="40">
        <f t="shared" si="0"/>
        <v>69.5</v>
      </c>
      <c r="E20" s="40">
        <f t="shared" si="1"/>
        <v>0</v>
      </c>
      <c r="F20" s="40">
        <f t="shared" si="2"/>
        <v>4.5</v>
      </c>
      <c r="G20" s="61">
        <v>0</v>
      </c>
      <c r="H20" s="41">
        <v>0</v>
      </c>
      <c r="I20" s="38">
        <v>20</v>
      </c>
      <c r="J20" s="148">
        <v>140</v>
      </c>
      <c r="K20" s="9"/>
      <c r="L20" s="9"/>
      <c r="M20" s="15">
        <f t="shared" si="3"/>
        <v>69.5</v>
      </c>
    </row>
    <row r="21" spans="1:13" ht="13.5" x14ac:dyDescent="0.25">
      <c r="A21" s="39">
        <v>10</v>
      </c>
      <c r="B21" s="38">
        <v>91</v>
      </c>
      <c r="C21" s="38">
        <v>54</v>
      </c>
      <c r="D21" s="40">
        <f t="shared" si="0"/>
        <v>72.5</v>
      </c>
      <c r="E21" s="40">
        <f t="shared" si="1"/>
        <v>0</v>
      </c>
      <c r="F21" s="40">
        <f t="shared" si="2"/>
        <v>7.5</v>
      </c>
      <c r="G21" s="61">
        <v>0</v>
      </c>
      <c r="H21" s="41">
        <v>0</v>
      </c>
      <c r="I21" s="38">
        <v>17</v>
      </c>
      <c r="J21" s="148">
        <v>130</v>
      </c>
      <c r="K21" s="9"/>
      <c r="L21" s="9"/>
      <c r="M21" s="15">
        <f t="shared" si="3"/>
        <v>72.5</v>
      </c>
    </row>
    <row r="22" spans="1:13" ht="13.5" x14ac:dyDescent="0.25">
      <c r="A22" s="39">
        <v>11</v>
      </c>
      <c r="B22" s="38">
        <v>91</v>
      </c>
      <c r="C22" s="38">
        <v>60</v>
      </c>
      <c r="D22" s="40">
        <f t="shared" si="0"/>
        <v>75.5</v>
      </c>
      <c r="E22" s="40">
        <f t="shared" si="1"/>
        <v>0</v>
      </c>
      <c r="F22" s="40">
        <f t="shared" si="2"/>
        <v>10.5</v>
      </c>
      <c r="G22" s="61">
        <v>0</v>
      </c>
      <c r="H22" s="41">
        <v>0</v>
      </c>
      <c r="I22" s="38">
        <v>16</v>
      </c>
      <c r="J22" s="148">
        <v>180</v>
      </c>
      <c r="K22" s="9"/>
      <c r="L22" s="9"/>
      <c r="M22" s="15">
        <f t="shared" si="3"/>
        <v>75.5</v>
      </c>
    </row>
    <row r="23" spans="1:13" ht="13.5" x14ac:dyDescent="0.25">
      <c r="A23" s="39">
        <v>12</v>
      </c>
      <c r="B23" s="38">
        <v>92</v>
      </c>
      <c r="C23" s="38">
        <v>58</v>
      </c>
      <c r="D23" s="40">
        <f t="shared" si="0"/>
        <v>75</v>
      </c>
      <c r="E23" s="40">
        <f t="shared" si="1"/>
        <v>0</v>
      </c>
      <c r="F23" s="40">
        <f t="shared" si="2"/>
        <v>10</v>
      </c>
      <c r="G23" s="61">
        <v>0</v>
      </c>
      <c r="H23" s="41">
        <v>0</v>
      </c>
      <c r="I23" s="38">
        <v>27</v>
      </c>
      <c r="J23" s="148">
        <v>170</v>
      </c>
      <c r="K23" s="9"/>
      <c r="L23" s="9"/>
      <c r="M23" s="15">
        <f t="shared" si="3"/>
        <v>75</v>
      </c>
    </row>
    <row r="24" spans="1:13" ht="13.5" x14ac:dyDescent="0.25">
      <c r="A24" s="39">
        <v>13</v>
      </c>
      <c r="B24" s="38">
        <v>93</v>
      </c>
      <c r="C24" s="38">
        <v>58</v>
      </c>
      <c r="D24" s="40">
        <f t="shared" si="0"/>
        <v>75.5</v>
      </c>
      <c r="E24" s="40">
        <f t="shared" si="1"/>
        <v>0</v>
      </c>
      <c r="F24" s="40">
        <f t="shared" si="2"/>
        <v>10.5</v>
      </c>
      <c r="G24" s="61">
        <v>0</v>
      </c>
      <c r="H24" s="41">
        <v>0</v>
      </c>
      <c r="I24" s="38">
        <v>28</v>
      </c>
      <c r="J24" s="148">
        <v>170</v>
      </c>
      <c r="K24" s="9"/>
      <c r="L24" s="9"/>
      <c r="M24" s="15">
        <f t="shared" si="3"/>
        <v>75.5</v>
      </c>
    </row>
    <row r="25" spans="1:13" ht="13.5" x14ac:dyDescent="0.25">
      <c r="A25" s="39">
        <v>14</v>
      </c>
      <c r="B25" s="38">
        <v>93</v>
      </c>
      <c r="C25" s="38">
        <v>63</v>
      </c>
      <c r="D25" s="40">
        <f t="shared" si="0"/>
        <v>78</v>
      </c>
      <c r="E25" s="40">
        <f t="shared" si="1"/>
        <v>0</v>
      </c>
      <c r="F25" s="40">
        <f t="shared" si="2"/>
        <v>13</v>
      </c>
      <c r="G25" s="61">
        <v>0</v>
      </c>
      <c r="H25" s="41">
        <v>0</v>
      </c>
      <c r="I25" s="38">
        <v>19</v>
      </c>
      <c r="J25" s="148">
        <v>180</v>
      </c>
      <c r="K25" s="9"/>
      <c r="L25" s="9"/>
      <c r="M25" s="15">
        <f t="shared" si="3"/>
        <v>78</v>
      </c>
    </row>
    <row r="26" spans="1:13" ht="13.5" x14ac:dyDescent="0.25">
      <c r="A26" s="39">
        <v>15</v>
      </c>
      <c r="B26" s="38">
        <v>83</v>
      </c>
      <c r="C26" s="38">
        <v>69</v>
      </c>
      <c r="D26" s="40">
        <f t="shared" si="0"/>
        <v>76</v>
      </c>
      <c r="E26" s="40">
        <f t="shared" si="1"/>
        <v>0</v>
      </c>
      <c r="F26" s="40">
        <f t="shared" si="2"/>
        <v>11</v>
      </c>
      <c r="G26" s="61">
        <v>0</v>
      </c>
      <c r="H26" s="41">
        <v>0</v>
      </c>
      <c r="I26" s="38">
        <v>20</v>
      </c>
      <c r="J26" s="148">
        <v>20</v>
      </c>
      <c r="K26" s="9"/>
      <c r="L26" s="9"/>
      <c r="M26" s="15">
        <f t="shared" si="3"/>
        <v>76</v>
      </c>
    </row>
    <row r="27" spans="1:13" ht="13.5" x14ac:dyDescent="0.25">
      <c r="A27" s="39">
        <v>16</v>
      </c>
      <c r="B27" s="38">
        <v>87</v>
      </c>
      <c r="C27" s="38">
        <v>64</v>
      </c>
      <c r="D27" s="40">
        <f t="shared" si="0"/>
        <v>75.5</v>
      </c>
      <c r="E27" s="40">
        <f t="shared" si="1"/>
        <v>0</v>
      </c>
      <c r="F27" s="40">
        <f t="shared" si="2"/>
        <v>10.5</v>
      </c>
      <c r="G27" s="61">
        <v>0</v>
      </c>
      <c r="H27" s="41">
        <v>0</v>
      </c>
      <c r="I27" s="38">
        <v>23</v>
      </c>
      <c r="J27" s="148">
        <v>170</v>
      </c>
      <c r="K27" s="9"/>
      <c r="L27" s="9"/>
      <c r="M27" s="15">
        <f t="shared" si="3"/>
        <v>75.5</v>
      </c>
    </row>
    <row r="28" spans="1:13" ht="13.5" x14ac:dyDescent="0.25">
      <c r="A28" s="39">
        <v>17</v>
      </c>
      <c r="B28" s="38">
        <v>88</v>
      </c>
      <c r="C28" s="38">
        <v>67</v>
      </c>
      <c r="D28" s="40">
        <f t="shared" si="0"/>
        <v>77.5</v>
      </c>
      <c r="E28" s="40">
        <f t="shared" si="1"/>
        <v>0</v>
      </c>
      <c r="F28" s="40">
        <f t="shared" si="2"/>
        <v>12.5</v>
      </c>
      <c r="G28" s="61">
        <v>0</v>
      </c>
      <c r="H28" s="41">
        <v>0</v>
      </c>
      <c r="I28" s="38">
        <v>26</v>
      </c>
      <c r="J28" s="148">
        <v>130</v>
      </c>
      <c r="K28" s="9"/>
      <c r="L28" s="9"/>
      <c r="M28" s="15">
        <f t="shared" si="3"/>
        <v>77.5</v>
      </c>
    </row>
    <row r="29" spans="1:13" ht="13.5" x14ac:dyDescent="0.25">
      <c r="A29" s="39">
        <v>18</v>
      </c>
      <c r="B29" s="38">
        <v>92</v>
      </c>
      <c r="C29" s="38">
        <v>66</v>
      </c>
      <c r="D29" s="40">
        <f t="shared" si="0"/>
        <v>79</v>
      </c>
      <c r="E29" s="40">
        <f t="shared" si="1"/>
        <v>0</v>
      </c>
      <c r="F29" s="40">
        <f t="shared" si="2"/>
        <v>14</v>
      </c>
      <c r="G29" s="61">
        <v>0</v>
      </c>
      <c r="H29" s="41">
        <v>0</v>
      </c>
      <c r="I29" s="38">
        <v>29</v>
      </c>
      <c r="J29" s="148">
        <v>160</v>
      </c>
      <c r="K29" s="9"/>
      <c r="L29" s="9"/>
      <c r="M29" s="15">
        <f t="shared" si="3"/>
        <v>79</v>
      </c>
    </row>
    <row r="30" spans="1:13" ht="13.5" x14ac:dyDescent="0.25">
      <c r="A30" s="39">
        <v>19</v>
      </c>
      <c r="B30" s="38">
        <v>84</v>
      </c>
      <c r="C30" s="38">
        <v>71</v>
      </c>
      <c r="D30" s="40">
        <f t="shared" si="0"/>
        <v>77.5</v>
      </c>
      <c r="E30" s="40">
        <f t="shared" si="1"/>
        <v>0</v>
      </c>
      <c r="F30" s="40">
        <f t="shared" si="2"/>
        <v>12.5</v>
      </c>
      <c r="G30" s="61">
        <v>0</v>
      </c>
      <c r="H30" s="41">
        <v>0</v>
      </c>
      <c r="I30" s="38">
        <v>28</v>
      </c>
      <c r="J30" s="148">
        <v>140</v>
      </c>
      <c r="K30" s="9"/>
      <c r="L30" s="9"/>
      <c r="M30" s="15">
        <f t="shared" si="3"/>
        <v>77.5</v>
      </c>
    </row>
    <row r="31" spans="1:13" ht="13.5" x14ac:dyDescent="0.25">
      <c r="A31" s="39">
        <v>20</v>
      </c>
      <c r="B31" s="38">
        <v>85</v>
      </c>
      <c r="C31" s="38">
        <v>62</v>
      </c>
      <c r="D31" s="40">
        <f t="shared" si="0"/>
        <v>73.5</v>
      </c>
      <c r="E31" s="40">
        <f t="shared" si="1"/>
        <v>0</v>
      </c>
      <c r="F31" s="40">
        <f t="shared" si="2"/>
        <v>8.5</v>
      </c>
      <c r="G31" s="61">
        <v>0.17</v>
      </c>
      <c r="H31" s="41">
        <v>0</v>
      </c>
      <c r="I31" s="38">
        <v>33</v>
      </c>
      <c r="J31" s="148">
        <v>340</v>
      </c>
      <c r="K31" s="9"/>
      <c r="L31" s="9"/>
      <c r="M31" s="15">
        <f t="shared" si="3"/>
        <v>73.5</v>
      </c>
    </row>
    <row r="32" spans="1:13" ht="13.5" x14ac:dyDescent="0.25">
      <c r="A32" s="39">
        <v>21</v>
      </c>
      <c r="B32" s="38">
        <v>89</v>
      </c>
      <c r="C32" s="38">
        <v>60</v>
      </c>
      <c r="D32" s="40">
        <f t="shared" si="0"/>
        <v>74.5</v>
      </c>
      <c r="E32" s="40">
        <f t="shared" si="1"/>
        <v>0</v>
      </c>
      <c r="F32" s="40">
        <f t="shared" si="2"/>
        <v>9.5</v>
      </c>
      <c r="G32" s="61">
        <v>0</v>
      </c>
      <c r="H32" s="41">
        <v>0</v>
      </c>
      <c r="I32" s="38">
        <v>19</v>
      </c>
      <c r="J32" s="148">
        <v>100</v>
      </c>
      <c r="K32" s="9"/>
      <c r="L32" s="9"/>
      <c r="M32" s="15">
        <f t="shared" si="3"/>
        <v>74.5</v>
      </c>
    </row>
    <row r="33" spans="1:13" ht="13.5" x14ac:dyDescent="0.25">
      <c r="A33" s="39">
        <v>22</v>
      </c>
      <c r="B33" s="38">
        <v>87</v>
      </c>
      <c r="C33" s="38">
        <v>71</v>
      </c>
      <c r="D33" s="40">
        <f t="shared" si="0"/>
        <v>79</v>
      </c>
      <c r="E33" s="40">
        <f t="shared" si="1"/>
        <v>0</v>
      </c>
      <c r="F33" s="40">
        <f t="shared" si="2"/>
        <v>14</v>
      </c>
      <c r="G33" s="61">
        <v>0</v>
      </c>
      <c r="H33" s="41">
        <v>0</v>
      </c>
      <c r="I33" s="38">
        <v>20</v>
      </c>
      <c r="J33" s="148">
        <v>140</v>
      </c>
      <c r="K33" s="9"/>
      <c r="L33" s="9"/>
      <c r="M33" s="15">
        <f t="shared" si="3"/>
        <v>79</v>
      </c>
    </row>
    <row r="34" spans="1:13" ht="13.5" x14ac:dyDescent="0.25">
      <c r="A34" s="39">
        <v>23</v>
      </c>
      <c r="B34" s="38">
        <v>80</v>
      </c>
      <c r="C34" s="38">
        <v>66</v>
      </c>
      <c r="D34" s="40">
        <f t="shared" si="0"/>
        <v>73</v>
      </c>
      <c r="E34" s="40">
        <f t="shared" si="1"/>
        <v>0</v>
      </c>
      <c r="F34" s="40">
        <f t="shared" si="2"/>
        <v>8</v>
      </c>
      <c r="G34" s="61">
        <v>0.8</v>
      </c>
      <c r="H34" s="41">
        <v>0</v>
      </c>
      <c r="I34" s="38">
        <v>29</v>
      </c>
      <c r="J34" s="148">
        <v>90</v>
      </c>
      <c r="K34" s="9"/>
      <c r="L34" s="9"/>
      <c r="M34" s="15">
        <f t="shared" si="3"/>
        <v>73</v>
      </c>
    </row>
    <row r="35" spans="1:13" ht="13.5" x14ac:dyDescent="0.25">
      <c r="A35" s="39">
        <v>24</v>
      </c>
      <c r="B35" s="38">
        <v>85</v>
      </c>
      <c r="C35" s="38">
        <v>73</v>
      </c>
      <c r="D35" s="40">
        <f t="shared" si="0"/>
        <v>79</v>
      </c>
      <c r="E35" s="40">
        <f t="shared" si="1"/>
        <v>0</v>
      </c>
      <c r="F35" s="40">
        <f t="shared" si="2"/>
        <v>14</v>
      </c>
      <c r="G35" s="61">
        <v>0</v>
      </c>
      <c r="H35" s="41">
        <v>0</v>
      </c>
      <c r="I35" s="38">
        <v>21</v>
      </c>
      <c r="J35" s="148">
        <v>160</v>
      </c>
      <c r="K35" s="9"/>
      <c r="L35" s="9"/>
      <c r="M35" s="15">
        <f t="shared" si="3"/>
        <v>79</v>
      </c>
    </row>
    <row r="36" spans="1:13" ht="13.5" x14ac:dyDescent="0.25">
      <c r="A36" s="39">
        <v>25</v>
      </c>
      <c r="B36" s="38">
        <v>86</v>
      </c>
      <c r="C36" s="38">
        <v>72</v>
      </c>
      <c r="D36" s="40">
        <f t="shared" si="0"/>
        <v>79</v>
      </c>
      <c r="E36" s="40">
        <f t="shared" si="1"/>
        <v>0</v>
      </c>
      <c r="F36" s="40">
        <f t="shared" si="2"/>
        <v>14</v>
      </c>
      <c r="G36" s="61">
        <v>0</v>
      </c>
      <c r="H36" s="41">
        <v>0</v>
      </c>
      <c r="I36" s="38">
        <v>19</v>
      </c>
      <c r="J36" s="148">
        <v>120</v>
      </c>
      <c r="K36" s="9"/>
      <c r="L36" s="9"/>
      <c r="M36" s="15">
        <f t="shared" si="3"/>
        <v>79</v>
      </c>
    </row>
    <row r="37" spans="1:13" ht="13.5" x14ac:dyDescent="0.25">
      <c r="A37" s="39">
        <v>26</v>
      </c>
      <c r="B37" s="38">
        <v>85</v>
      </c>
      <c r="C37" s="38">
        <v>71</v>
      </c>
      <c r="D37" s="40">
        <f>(B37+C37)/2</f>
        <v>78</v>
      </c>
      <c r="E37" s="40">
        <f t="shared" si="1"/>
        <v>0</v>
      </c>
      <c r="F37" s="40">
        <f t="shared" si="2"/>
        <v>13</v>
      </c>
      <c r="G37" s="61">
        <v>0</v>
      </c>
      <c r="H37" s="41">
        <v>0</v>
      </c>
      <c r="I37" s="38">
        <v>24</v>
      </c>
      <c r="J37" s="148">
        <v>130</v>
      </c>
      <c r="K37" s="9"/>
      <c r="L37" s="9"/>
      <c r="M37" s="15">
        <f t="shared" si="3"/>
        <v>78</v>
      </c>
    </row>
    <row r="38" spans="1:13" ht="13.5" x14ac:dyDescent="0.25">
      <c r="A38" s="39">
        <v>27</v>
      </c>
      <c r="B38" s="38">
        <v>88</v>
      </c>
      <c r="C38" s="38">
        <v>71</v>
      </c>
      <c r="D38" s="40">
        <f t="shared" si="0"/>
        <v>79.5</v>
      </c>
      <c r="E38" s="40">
        <f t="shared" si="1"/>
        <v>0</v>
      </c>
      <c r="F38" s="40">
        <f t="shared" si="2"/>
        <v>14.5</v>
      </c>
      <c r="G38" s="61">
        <v>0</v>
      </c>
      <c r="H38" s="41">
        <v>0</v>
      </c>
      <c r="I38" s="38">
        <v>22</v>
      </c>
      <c r="J38" s="148">
        <v>130</v>
      </c>
      <c r="K38" s="9"/>
      <c r="L38" s="9"/>
      <c r="M38" s="15">
        <f t="shared" si="3"/>
        <v>79.5</v>
      </c>
    </row>
    <row r="39" spans="1:13" ht="13.5" x14ac:dyDescent="0.25">
      <c r="A39" s="39">
        <v>28</v>
      </c>
      <c r="B39" s="38">
        <v>85</v>
      </c>
      <c r="C39" s="38">
        <v>73</v>
      </c>
      <c r="D39" s="40">
        <f t="shared" si="0"/>
        <v>79</v>
      </c>
      <c r="E39" s="40">
        <f t="shared" si="1"/>
        <v>0</v>
      </c>
      <c r="F39" s="40">
        <f t="shared" si="2"/>
        <v>14</v>
      </c>
      <c r="G39" s="61">
        <v>0</v>
      </c>
      <c r="H39" s="41">
        <v>0</v>
      </c>
      <c r="I39" s="38">
        <v>32</v>
      </c>
      <c r="J39" s="148">
        <v>130</v>
      </c>
      <c r="K39" s="9"/>
      <c r="L39" s="9"/>
      <c r="M39" s="15">
        <f t="shared" si="3"/>
        <v>79</v>
      </c>
    </row>
    <row r="40" spans="1:13" ht="13.5" x14ac:dyDescent="0.25">
      <c r="A40" s="39">
        <v>29</v>
      </c>
      <c r="B40" s="38">
        <v>90</v>
      </c>
      <c r="C40" s="38">
        <v>72</v>
      </c>
      <c r="D40" s="40">
        <f t="shared" si="0"/>
        <v>81</v>
      </c>
      <c r="E40" s="40">
        <f t="shared" si="1"/>
        <v>0</v>
      </c>
      <c r="F40" s="40">
        <f t="shared" si="2"/>
        <v>16</v>
      </c>
      <c r="G40" s="61">
        <v>0</v>
      </c>
      <c r="H40" s="41">
        <v>0</v>
      </c>
      <c r="I40" s="38">
        <v>26</v>
      </c>
      <c r="J40" s="149">
        <v>130</v>
      </c>
      <c r="K40" s="9"/>
      <c r="L40" s="9"/>
      <c r="M40" s="15">
        <f t="shared" si="3"/>
        <v>81</v>
      </c>
    </row>
    <row r="41" spans="1:13" ht="13.5" x14ac:dyDescent="0.25">
      <c r="A41" s="166">
        <v>30</v>
      </c>
      <c r="B41" s="153">
        <v>92</v>
      </c>
      <c r="C41" s="153">
        <v>73</v>
      </c>
      <c r="D41" s="167">
        <f>(B41+C41)/2</f>
        <v>82.5</v>
      </c>
      <c r="E41" s="167">
        <f>IF(65-D41&gt;0,65-M41,0)</f>
        <v>0</v>
      </c>
      <c r="F41" s="167">
        <f>IF((D41)-65&lt;0,0,(D41)-65)</f>
        <v>17.5</v>
      </c>
      <c r="G41" s="151">
        <v>0</v>
      </c>
      <c r="H41" s="152">
        <v>0</v>
      </c>
      <c r="I41" s="153">
        <v>28</v>
      </c>
      <c r="J41" s="154">
        <v>140</v>
      </c>
      <c r="K41" s="9"/>
      <c r="L41" s="9"/>
      <c r="M41" s="15">
        <f>IF(D41=0,65,D41)</f>
        <v>82.5</v>
      </c>
    </row>
    <row r="42" spans="1:13" ht="13.5" x14ac:dyDescent="0.25">
      <c r="A42" s="39" t="s">
        <v>24</v>
      </c>
      <c r="B42" s="35" t="s">
        <v>25</v>
      </c>
      <c r="C42" s="35" t="s">
        <v>25</v>
      </c>
      <c r="D42" s="40">
        <f>SUM(D12:D41)</f>
        <v>2256.5</v>
      </c>
      <c r="E42" s="40">
        <f>SUM(E12:E41)</f>
        <v>21</v>
      </c>
      <c r="F42" s="40">
        <f>SUM(F12:F41)</f>
        <v>327.5</v>
      </c>
      <c r="G42" s="61">
        <f>SUM(G12:G41)</f>
        <v>1.1600000000000001</v>
      </c>
      <c r="H42" s="41">
        <v>0</v>
      </c>
      <c r="I42" s="40" t="s">
        <v>25</v>
      </c>
      <c r="J42" s="172" t="s">
        <v>25</v>
      </c>
      <c r="K42" s="9"/>
      <c r="L42" s="9"/>
      <c r="M42" s="15">
        <f>IF(D42=0,65,D42)</f>
        <v>2256.5</v>
      </c>
    </row>
    <row r="43" spans="1:13" ht="13.5" x14ac:dyDescent="0.25">
      <c r="A43" s="39" t="s">
        <v>26</v>
      </c>
      <c r="B43" s="35">
        <f>MAXA(B12:B41)</f>
        <v>94</v>
      </c>
      <c r="C43" s="35">
        <f>MINA(C12:C41)</f>
        <v>40</v>
      </c>
      <c r="D43" s="40">
        <f>(B43+C43)/2</f>
        <v>67</v>
      </c>
      <c r="E43" s="40">
        <f>IF(65-D43&gt;0,65-M43,0)</f>
        <v>0</v>
      </c>
      <c r="F43" s="40">
        <f>IF((D43)-65&lt;0,0,(D43)-65)</f>
        <v>2</v>
      </c>
      <c r="G43" s="61">
        <f>MAXA(G12:G41)</f>
        <v>0.8</v>
      </c>
      <c r="H43" s="41">
        <v>0</v>
      </c>
      <c r="I43" s="35">
        <f>MAXA(I12:I41)</f>
        <v>33</v>
      </c>
      <c r="J43" s="147">
        <v>340</v>
      </c>
      <c r="K43" s="9"/>
      <c r="L43" s="9"/>
      <c r="M43" s="9"/>
    </row>
    <row r="44" spans="1:13" ht="13.5" x14ac:dyDescent="0.25">
      <c r="A44" s="39" t="s">
        <v>27</v>
      </c>
      <c r="B44" s="40">
        <f>AVERAGEA(B12:B41)</f>
        <v>86.5</v>
      </c>
      <c r="C44" s="40">
        <f>AVERAGEA(C12:C41)</f>
        <v>63.93333333333333</v>
      </c>
      <c r="D44" s="40">
        <f>(B44+C44)/2</f>
        <v>75.216666666666669</v>
      </c>
      <c r="E44" s="40">
        <f>IF(65-D44&gt;0,65-M44,0)</f>
        <v>0</v>
      </c>
      <c r="F44" s="40">
        <f>IF((D44)-65&lt;0,0,(D44)-65)</f>
        <v>10.216666666666669</v>
      </c>
      <c r="G44" s="61">
        <f>AVERAGEA(G12:G41)</f>
        <v>3.8666666666666669E-2</v>
      </c>
      <c r="H44" s="41">
        <f>AVERAGEA(H12:H41)</f>
        <v>0</v>
      </c>
      <c r="I44" s="40">
        <f>AVERAGEA(I12:I41)</f>
        <v>23.866666666666667</v>
      </c>
      <c r="J44" s="173">
        <f>AVERAGEA(J12:J41)</f>
        <v>164.66666666666666</v>
      </c>
      <c r="K44" s="9"/>
      <c r="L44" s="9"/>
      <c r="M44" s="9"/>
    </row>
    <row r="45" spans="1:13" ht="13.5" x14ac:dyDescent="0.25">
      <c r="A45" s="39" t="s">
        <v>28</v>
      </c>
      <c r="B45" s="35">
        <v>108</v>
      </c>
      <c r="C45" s="35">
        <v>31</v>
      </c>
      <c r="D45" s="40">
        <f>AVERAGEA(B45:C45)</f>
        <v>69.5</v>
      </c>
      <c r="E45" s="40">
        <f>AVERAGEA(E13:E41)</f>
        <v>0.72413793103448276</v>
      </c>
      <c r="F45" s="40">
        <f>AVERAGEA(F13:F41)</f>
        <v>10.862068965517242</v>
      </c>
      <c r="G45" s="61">
        <v>2.2000000000000002</v>
      </c>
      <c r="H45" s="41" t="s">
        <v>25</v>
      </c>
      <c r="I45" s="35">
        <v>10</v>
      </c>
      <c r="J45" s="172">
        <v>150</v>
      </c>
      <c r="K45" s="9"/>
      <c r="L45" s="9"/>
      <c r="M45" s="9"/>
    </row>
    <row r="46" spans="1:13" ht="13.5" x14ac:dyDescent="0.25">
      <c r="A46" s="174" t="s">
        <v>78</v>
      </c>
      <c r="B46" s="35"/>
      <c r="C46" s="35"/>
      <c r="D46" s="40"/>
      <c r="E46" s="175"/>
      <c r="F46" s="175"/>
      <c r="G46" s="61">
        <f>(G42-G45)</f>
        <v>-1.04</v>
      </c>
      <c r="H46" s="41"/>
      <c r="I46" s="35"/>
      <c r="J46" s="172"/>
      <c r="K46" s="9"/>
      <c r="L46" s="9"/>
      <c r="M46" s="9"/>
    </row>
    <row r="47" spans="1:13" ht="13.5" x14ac:dyDescent="0.25">
      <c r="A47" s="158" t="s">
        <v>30</v>
      </c>
      <c r="B47" s="150"/>
      <c r="C47" s="150"/>
      <c r="D47" s="150"/>
      <c r="E47" s="150"/>
      <c r="F47" s="150"/>
      <c r="G47" s="150"/>
      <c r="H47" s="150"/>
      <c r="I47" s="150"/>
      <c r="J47" s="176"/>
      <c r="K47" s="9"/>
      <c r="L47" s="9"/>
      <c r="M47" s="9"/>
    </row>
    <row r="48" spans="1:13" ht="14.25" thickBot="1" x14ac:dyDescent="0.3">
      <c r="A48" s="20"/>
      <c r="B48" s="21"/>
      <c r="C48" s="21"/>
      <c r="D48" s="21"/>
      <c r="E48" s="21"/>
      <c r="F48" s="21"/>
      <c r="G48" s="21"/>
      <c r="H48" s="21"/>
      <c r="I48" s="21"/>
      <c r="J48" s="22"/>
      <c r="K48" s="9"/>
      <c r="L48" s="9"/>
      <c r="M48" s="9"/>
    </row>
    <row r="49" spans="1:13" ht="13.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1" spans="1:13" x14ac:dyDescent="0.2">
      <c r="A51" s="203"/>
      <c r="B51" s="227" t="s">
        <v>31</v>
      </c>
      <c r="C51" s="227"/>
      <c r="D51" s="227"/>
      <c r="E51" s="227"/>
      <c r="F51" s="227"/>
      <c r="G51" s="227" t="s">
        <v>72</v>
      </c>
      <c r="H51" s="227"/>
      <c r="I51" s="227"/>
      <c r="J51" s="203" t="s">
        <v>73</v>
      </c>
    </row>
    <row r="52" spans="1:13" ht="25.5" x14ac:dyDescent="0.2">
      <c r="A52" s="203"/>
      <c r="B52" s="205" t="s">
        <v>66</v>
      </c>
      <c r="C52" s="205" t="s">
        <v>67</v>
      </c>
      <c r="D52" s="203" t="s">
        <v>16</v>
      </c>
      <c r="E52" s="205" t="s">
        <v>69</v>
      </c>
      <c r="F52" s="205" t="s">
        <v>68</v>
      </c>
      <c r="G52" s="205" t="s">
        <v>12</v>
      </c>
      <c r="H52" s="203" t="s">
        <v>16</v>
      </c>
      <c r="I52" s="205" t="s">
        <v>71</v>
      </c>
      <c r="J52" s="205" t="s">
        <v>70</v>
      </c>
    </row>
    <row r="53" spans="1:13" ht="25.5" x14ac:dyDescent="0.2">
      <c r="A53" s="205" t="s">
        <v>64</v>
      </c>
      <c r="B53" s="35">
        <f>MAXA(B11:B41)</f>
        <v>94</v>
      </c>
      <c r="C53" s="40">
        <f>AVERAGEA(B11:B41)</f>
        <v>86.5</v>
      </c>
      <c r="D53" s="40">
        <f>(B44+C44)/2</f>
        <v>75.216666666666669</v>
      </c>
      <c r="E53" s="40">
        <f>AVERAGEA(C11:C41)</f>
        <v>63.93333333333333</v>
      </c>
      <c r="F53" s="35">
        <f>MINA(C11:C41)</f>
        <v>40</v>
      </c>
      <c r="G53" s="61">
        <f>SUM(G11:G41)</f>
        <v>1.1600000000000001</v>
      </c>
      <c r="H53" s="61">
        <f>AVERAGEA(G11:G41)</f>
        <v>3.8666666666666669E-2</v>
      </c>
      <c r="I53" s="61">
        <f>MAXA(G11:G39)</f>
        <v>0.8</v>
      </c>
      <c r="J53" s="206">
        <f>MAXA(I11:I39)</f>
        <v>33</v>
      </c>
    </row>
    <row r="54" spans="1:13" x14ac:dyDescent="0.2">
      <c r="A54" s="203" t="s">
        <v>65</v>
      </c>
      <c r="B54" s="204">
        <v>108</v>
      </c>
      <c r="C54" s="204">
        <v>82</v>
      </c>
      <c r="D54" s="204">
        <v>70</v>
      </c>
      <c r="E54" s="204">
        <v>60</v>
      </c>
      <c r="F54" s="204">
        <v>31</v>
      </c>
      <c r="G54" s="204">
        <v>10.199999999999999</v>
      </c>
      <c r="H54" s="204">
        <v>2.2000000000000002</v>
      </c>
      <c r="I54" s="204">
        <v>3.4</v>
      </c>
      <c r="J54" s="204">
        <v>57</v>
      </c>
    </row>
  </sheetData>
  <mergeCells count="2">
    <mergeCell ref="B51:F51"/>
    <mergeCell ref="G51:I51"/>
  </mergeCells>
  <phoneticPr fontId="0" type="noConversion"/>
  <conditionalFormatting sqref="E53">
    <cfRule type="cellIs" dxfId="81" priority="1" stopIfTrue="1" operator="lessThan">
      <formula>$E$55</formula>
    </cfRule>
  </conditionalFormatting>
  <conditionalFormatting sqref="F53">
    <cfRule type="cellIs" dxfId="80" priority="2" stopIfTrue="1" operator="lessThan">
      <formula>$F$55</formula>
    </cfRule>
  </conditionalFormatting>
  <conditionalFormatting sqref="B53">
    <cfRule type="cellIs" dxfId="79" priority="3" stopIfTrue="1" operator="greaterThan">
      <formula>$B$54</formula>
    </cfRule>
  </conditionalFormatting>
  <conditionalFormatting sqref="C53">
    <cfRule type="cellIs" dxfId="78" priority="4" stopIfTrue="1" operator="greaterThan">
      <formula>$C$54</formula>
    </cfRule>
  </conditionalFormatting>
  <conditionalFormatting sqref="D53">
    <cfRule type="cellIs" dxfId="77" priority="5" stopIfTrue="1" operator="lessThanOrEqual">
      <formula>$D$54</formula>
    </cfRule>
    <cfRule type="cellIs" dxfId="76" priority="6" stopIfTrue="1" operator="greaterThan">
      <formula>$D$54</formula>
    </cfRule>
  </conditionalFormatting>
  <conditionalFormatting sqref="G53">
    <cfRule type="cellIs" dxfId="75" priority="7" stopIfTrue="1" operator="greaterThan">
      <formula>$G$54</formula>
    </cfRule>
  </conditionalFormatting>
  <conditionalFormatting sqref="I53">
    <cfRule type="cellIs" dxfId="74" priority="8" stopIfTrue="1" operator="greaterThan">
      <formula>$I$54</formula>
    </cfRule>
  </conditionalFormatting>
  <conditionalFormatting sqref="J53">
    <cfRule type="cellIs" dxfId="73" priority="9" stopIfTrue="1" operator="greaterThan">
      <formula>$J$54</formula>
    </cfRule>
  </conditionalFormatting>
  <pageMargins left="1" right="0.5" top="1" bottom="1" header="0.5" footer="0.5"/>
  <pageSetup scale="99" orientation="portrait" copies="1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D7FA-96F1-458E-A4D2-5B8F271DC66D}">
  <sheetPr codeName="Sheet5">
    <pageSetUpPr fitToPage="1"/>
  </sheetPr>
  <dimension ref="A1:M54"/>
  <sheetViews>
    <sheetView zoomScaleNormal="100" workbookViewId="0">
      <selection activeCell="E24" sqref="E24"/>
    </sheetView>
  </sheetViews>
  <sheetFormatPr defaultRowHeight="12.75" x14ac:dyDescent="0.2"/>
  <cols>
    <col min="5" max="6" width="11" bestFit="1" customWidth="1"/>
  </cols>
  <sheetData>
    <row r="1" spans="1:13" ht="15.75" x14ac:dyDescent="0.25">
      <c r="A1" s="75" t="s">
        <v>80</v>
      </c>
      <c r="B1" s="65"/>
      <c r="C1" s="76"/>
      <c r="D1" s="77"/>
      <c r="E1" s="77"/>
      <c r="F1" s="77"/>
      <c r="G1" s="77"/>
      <c r="H1" s="77"/>
      <c r="I1" s="77"/>
      <c r="J1" s="78"/>
      <c r="K1" s="4"/>
      <c r="L1" s="4"/>
      <c r="M1" s="4"/>
    </row>
    <row r="2" spans="1:13" ht="15.75" x14ac:dyDescent="0.25">
      <c r="A2" s="67" t="s">
        <v>0</v>
      </c>
      <c r="B2" s="63"/>
      <c r="C2" s="68"/>
      <c r="D2" s="69"/>
      <c r="E2" s="69"/>
      <c r="F2" s="69"/>
      <c r="G2" s="69"/>
      <c r="H2" s="69"/>
      <c r="I2" s="63"/>
      <c r="J2" s="70"/>
      <c r="K2" s="4"/>
      <c r="L2" s="4"/>
      <c r="M2" s="4"/>
    </row>
    <row r="3" spans="1:13" ht="15.75" x14ac:dyDescent="0.25">
      <c r="A3" s="71" t="s">
        <v>1</v>
      </c>
      <c r="B3" s="63"/>
      <c r="C3" s="68"/>
      <c r="D3" s="69"/>
      <c r="E3" s="69"/>
      <c r="F3" s="72"/>
      <c r="G3" s="69"/>
      <c r="H3" s="69"/>
      <c r="I3" s="63"/>
      <c r="J3" s="70"/>
      <c r="K3" s="4"/>
      <c r="L3" s="4"/>
      <c r="M3" s="4"/>
    </row>
    <row r="4" spans="1:13" ht="15.75" x14ac:dyDescent="0.25">
      <c r="A4" s="73" t="s">
        <v>85</v>
      </c>
      <c r="B4" s="69"/>
      <c r="C4" s="74"/>
      <c r="D4" s="69"/>
      <c r="E4" s="69"/>
      <c r="F4" s="69"/>
      <c r="G4" s="69"/>
      <c r="H4" s="69"/>
      <c r="I4" s="69"/>
      <c r="J4" s="70"/>
      <c r="K4" s="4"/>
      <c r="L4" s="4"/>
      <c r="M4" s="4"/>
    </row>
    <row r="5" spans="1:13" ht="16.5" thickBot="1" x14ac:dyDescent="0.3">
      <c r="A5" s="5"/>
      <c r="B5" s="6"/>
      <c r="C5" s="6"/>
      <c r="D5" s="7"/>
      <c r="E5" s="7"/>
      <c r="F5" s="7"/>
      <c r="G5" s="7"/>
      <c r="H5" s="7"/>
      <c r="I5" s="7"/>
      <c r="J5" s="8"/>
      <c r="K5" s="58"/>
      <c r="L5" s="58"/>
      <c r="M5" s="4"/>
    </row>
    <row r="6" spans="1:13" ht="13.5" x14ac:dyDescent="0.25">
      <c r="A6" s="82"/>
      <c r="B6" s="83" t="s">
        <v>2</v>
      </c>
      <c r="C6" s="84"/>
      <c r="D6" s="84"/>
      <c r="E6" s="84"/>
      <c r="F6" s="84"/>
      <c r="G6" s="85" t="s">
        <v>3</v>
      </c>
      <c r="H6" s="84"/>
      <c r="I6" s="83" t="s">
        <v>4</v>
      </c>
      <c r="J6" s="86"/>
      <c r="K6" s="9"/>
      <c r="L6" s="9"/>
      <c r="M6" s="9"/>
    </row>
    <row r="7" spans="1:13" ht="13.5" x14ac:dyDescent="0.25">
      <c r="A7" s="82"/>
      <c r="B7" s="84"/>
      <c r="C7" s="84"/>
      <c r="D7" s="85" t="s">
        <v>5</v>
      </c>
      <c r="E7" s="84"/>
      <c r="F7" s="84"/>
      <c r="G7" s="83" t="s">
        <v>6</v>
      </c>
      <c r="H7" s="143" t="s">
        <v>7</v>
      </c>
      <c r="I7" s="84"/>
      <c r="J7" s="86"/>
      <c r="K7" s="9"/>
      <c r="L7" s="9"/>
      <c r="M7" s="9"/>
    </row>
    <row r="8" spans="1:13" ht="13.5" x14ac:dyDescent="0.25">
      <c r="A8" s="82"/>
      <c r="B8" s="85" t="s">
        <v>8</v>
      </c>
      <c r="C8" s="84"/>
      <c r="D8" s="85" t="s">
        <v>9</v>
      </c>
      <c r="E8" s="84"/>
      <c r="F8" s="84"/>
      <c r="G8" s="83" t="s">
        <v>10</v>
      </c>
      <c r="H8" s="143" t="s">
        <v>11</v>
      </c>
      <c r="I8" s="143" t="s">
        <v>12</v>
      </c>
      <c r="J8" s="177" t="s">
        <v>13</v>
      </c>
      <c r="K8" s="9"/>
      <c r="L8" s="9"/>
      <c r="M8" s="9"/>
    </row>
    <row r="9" spans="1:13" ht="13.5" x14ac:dyDescent="0.25">
      <c r="A9" s="178" t="s">
        <v>14</v>
      </c>
      <c r="B9" s="143" t="s">
        <v>12</v>
      </c>
      <c r="C9" s="143" t="s">
        <v>15</v>
      </c>
      <c r="D9" s="143" t="s">
        <v>16</v>
      </c>
      <c r="E9" s="143" t="s">
        <v>17</v>
      </c>
      <c r="F9" s="143" t="s">
        <v>18</v>
      </c>
      <c r="G9" s="83" t="s">
        <v>19</v>
      </c>
      <c r="H9" s="143" t="s">
        <v>20</v>
      </c>
      <c r="I9" s="143" t="s">
        <v>21</v>
      </c>
      <c r="J9" s="92" t="s">
        <v>22</v>
      </c>
      <c r="K9" s="10" t="s">
        <v>23</v>
      </c>
      <c r="L9" s="9"/>
      <c r="M9" s="9"/>
    </row>
    <row r="10" spans="1:13" ht="14.25" thickBot="1" x14ac:dyDescent="0.3">
      <c r="A10" s="66"/>
      <c r="B10" s="55"/>
      <c r="C10" s="55"/>
      <c r="D10" s="55"/>
      <c r="E10" s="55"/>
      <c r="F10" s="55"/>
      <c r="G10" s="12"/>
      <c r="H10" s="12"/>
      <c r="I10" s="12"/>
      <c r="J10" s="13"/>
      <c r="K10" s="60"/>
      <c r="L10" s="59"/>
      <c r="M10" s="9"/>
    </row>
    <row r="11" spans="1:13" ht="13.5" x14ac:dyDescent="0.25">
      <c r="A11" s="39">
        <v>1</v>
      </c>
      <c r="B11" s="35">
        <v>91</v>
      </c>
      <c r="C11" s="35">
        <v>74</v>
      </c>
      <c r="D11" s="40">
        <f t="shared" ref="D11:D41" si="0">(B11+C11)/2</f>
        <v>82.5</v>
      </c>
      <c r="E11" s="40">
        <f t="shared" ref="E11:E41" si="1">IF(65-D11&gt;0,65-M11,0)</f>
        <v>0</v>
      </c>
      <c r="F11" s="40">
        <f t="shared" ref="F11:F41" si="2">IF((D11)-65&lt;0,0,(D11)-65)</f>
        <v>17.5</v>
      </c>
      <c r="G11" s="146">
        <v>0.05</v>
      </c>
      <c r="H11" s="41">
        <v>0</v>
      </c>
      <c r="I11" s="35">
        <v>36</v>
      </c>
      <c r="J11" s="147">
        <v>150</v>
      </c>
      <c r="K11" s="9"/>
      <c r="L11" s="9"/>
      <c r="M11" s="15">
        <f t="shared" ref="M11:M41" si="3">IF(D11=0,65,D11)</f>
        <v>82.5</v>
      </c>
    </row>
    <row r="12" spans="1:13" ht="13.5" x14ac:dyDescent="0.25">
      <c r="A12" s="39">
        <v>2</v>
      </c>
      <c r="B12" s="35">
        <v>88</v>
      </c>
      <c r="C12" s="35">
        <v>67</v>
      </c>
      <c r="D12" s="40">
        <f t="shared" si="0"/>
        <v>77.5</v>
      </c>
      <c r="E12" s="40">
        <f t="shared" si="1"/>
        <v>0</v>
      </c>
      <c r="F12" s="40">
        <f t="shared" si="2"/>
        <v>12.5</v>
      </c>
      <c r="G12" s="61">
        <v>0</v>
      </c>
      <c r="H12" s="41">
        <v>0</v>
      </c>
      <c r="I12" s="35">
        <v>28</v>
      </c>
      <c r="J12" s="147">
        <v>10</v>
      </c>
      <c r="K12" s="9"/>
      <c r="L12" s="9"/>
      <c r="M12" s="15">
        <f t="shared" si="3"/>
        <v>77.5</v>
      </c>
    </row>
    <row r="13" spans="1:13" ht="13.5" x14ac:dyDescent="0.25">
      <c r="A13" s="39">
        <v>3</v>
      </c>
      <c r="B13" s="35">
        <v>84</v>
      </c>
      <c r="C13" s="35">
        <v>64</v>
      </c>
      <c r="D13" s="40">
        <f t="shared" si="0"/>
        <v>74</v>
      </c>
      <c r="E13" s="40">
        <f t="shared" si="1"/>
        <v>0</v>
      </c>
      <c r="F13" s="40">
        <f t="shared" si="2"/>
        <v>9</v>
      </c>
      <c r="G13" s="61">
        <v>0</v>
      </c>
      <c r="H13" s="41">
        <v>0</v>
      </c>
      <c r="I13" s="35">
        <v>24</v>
      </c>
      <c r="J13" s="147">
        <v>20</v>
      </c>
      <c r="K13" s="9"/>
      <c r="L13" s="9"/>
      <c r="M13" s="15">
        <f t="shared" si="3"/>
        <v>74</v>
      </c>
    </row>
    <row r="14" spans="1:13" ht="13.5" x14ac:dyDescent="0.25">
      <c r="A14" s="39">
        <v>4</v>
      </c>
      <c r="B14" s="35">
        <v>86</v>
      </c>
      <c r="C14" s="35">
        <v>59</v>
      </c>
      <c r="D14" s="40">
        <f t="shared" si="0"/>
        <v>72.5</v>
      </c>
      <c r="E14" s="40">
        <f t="shared" si="1"/>
        <v>0</v>
      </c>
      <c r="F14" s="40">
        <f t="shared" si="2"/>
        <v>7.5</v>
      </c>
      <c r="G14" s="61">
        <v>0</v>
      </c>
      <c r="H14" s="41">
        <v>0</v>
      </c>
      <c r="I14" s="35">
        <v>19</v>
      </c>
      <c r="J14" s="147">
        <v>100</v>
      </c>
      <c r="K14" s="9"/>
      <c r="L14" s="9"/>
      <c r="M14" s="15">
        <f t="shared" si="3"/>
        <v>72.5</v>
      </c>
    </row>
    <row r="15" spans="1:13" ht="13.5" x14ac:dyDescent="0.25">
      <c r="A15" s="39">
        <v>5</v>
      </c>
      <c r="B15" s="35">
        <v>84</v>
      </c>
      <c r="C15" s="35">
        <v>70</v>
      </c>
      <c r="D15" s="40">
        <f t="shared" si="0"/>
        <v>77</v>
      </c>
      <c r="E15" s="40">
        <f t="shared" si="1"/>
        <v>0</v>
      </c>
      <c r="F15" s="40">
        <f t="shared" si="2"/>
        <v>12</v>
      </c>
      <c r="G15" s="61">
        <v>0</v>
      </c>
      <c r="H15" s="41">
        <v>0</v>
      </c>
      <c r="I15" s="35">
        <v>21</v>
      </c>
      <c r="J15" s="147">
        <v>90</v>
      </c>
      <c r="K15" s="9"/>
      <c r="L15" s="9"/>
      <c r="M15" s="15">
        <f t="shared" si="3"/>
        <v>77</v>
      </c>
    </row>
    <row r="16" spans="1:13" ht="13.5" x14ac:dyDescent="0.25">
      <c r="A16" s="39">
        <v>6</v>
      </c>
      <c r="B16" s="35">
        <v>92</v>
      </c>
      <c r="C16" s="35">
        <v>69</v>
      </c>
      <c r="D16" s="40">
        <f t="shared" si="0"/>
        <v>80.5</v>
      </c>
      <c r="E16" s="40">
        <f t="shared" si="1"/>
        <v>0</v>
      </c>
      <c r="F16" s="40">
        <f t="shared" si="2"/>
        <v>15.5</v>
      </c>
      <c r="G16" s="61">
        <v>0</v>
      </c>
      <c r="H16" s="41">
        <v>0</v>
      </c>
      <c r="I16" s="35">
        <v>16</v>
      </c>
      <c r="J16" s="147">
        <v>130</v>
      </c>
      <c r="K16" s="9"/>
      <c r="L16" s="9"/>
      <c r="M16" s="15">
        <f t="shared" si="3"/>
        <v>80.5</v>
      </c>
    </row>
    <row r="17" spans="1:13" ht="13.5" x14ac:dyDescent="0.25">
      <c r="A17" s="39">
        <v>7</v>
      </c>
      <c r="B17" s="38">
        <v>89</v>
      </c>
      <c r="C17" s="38">
        <v>67</v>
      </c>
      <c r="D17" s="40">
        <f t="shared" si="0"/>
        <v>78</v>
      </c>
      <c r="E17" s="40">
        <f t="shared" si="1"/>
        <v>0</v>
      </c>
      <c r="F17" s="40">
        <f t="shared" si="2"/>
        <v>13</v>
      </c>
      <c r="G17" s="61">
        <v>0</v>
      </c>
      <c r="H17" s="41">
        <v>0</v>
      </c>
      <c r="I17" s="38">
        <v>20</v>
      </c>
      <c r="J17" s="148">
        <v>70</v>
      </c>
      <c r="K17" s="9"/>
      <c r="L17" s="9"/>
      <c r="M17" s="15">
        <f t="shared" si="3"/>
        <v>78</v>
      </c>
    </row>
    <row r="18" spans="1:13" ht="13.5" x14ac:dyDescent="0.25">
      <c r="A18" s="39">
        <v>8</v>
      </c>
      <c r="B18" s="38">
        <v>88</v>
      </c>
      <c r="C18" s="38">
        <v>66</v>
      </c>
      <c r="D18" s="40">
        <f t="shared" si="0"/>
        <v>77</v>
      </c>
      <c r="E18" s="40">
        <f t="shared" si="1"/>
        <v>0</v>
      </c>
      <c r="F18" s="40">
        <f t="shared" si="2"/>
        <v>12</v>
      </c>
      <c r="G18" s="61">
        <v>0.02</v>
      </c>
      <c r="H18" s="41">
        <v>0</v>
      </c>
      <c r="I18" s="38">
        <v>27</v>
      </c>
      <c r="J18" s="148">
        <v>40</v>
      </c>
      <c r="K18" s="9"/>
      <c r="L18" s="9"/>
      <c r="M18" s="15">
        <f t="shared" si="3"/>
        <v>77</v>
      </c>
    </row>
    <row r="19" spans="1:13" ht="13.5" x14ac:dyDescent="0.25">
      <c r="A19" s="39">
        <v>9</v>
      </c>
      <c r="B19" s="38">
        <v>88</v>
      </c>
      <c r="C19" s="38">
        <v>63</v>
      </c>
      <c r="D19" s="40">
        <f t="shared" si="0"/>
        <v>75.5</v>
      </c>
      <c r="E19" s="40">
        <f t="shared" si="1"/>
        <v>0</v>
      </c>
      <c r="F19" s="40">
        <f t="shared" si="2"/>
        <v>10.5</v>
      </c>
      <c r="G19" s="61">
        <v>0</v>
      </c>
      <c r="H19" s="41">
        <v>0</v>
      </c>
      <c r="I19" s="38">
        <v>26</v>
      </c>
      <c r="J19" s="148">
        <v>30</v>
      </c>
      <c r="K19" s="9"/>
      <c r="L19" s="9"/>
      <c r="M19" s="15">
        <f t="shared" si="3"/>
        <v>75.5</v>
      </c>
    </row>
    <row r="20" spans="1:13" ht="13.5" x14ac:dyDescent="0.25">
      <c r="A20" s="39">
        <v>10</v>
      </c>
      <c r="B20" s="38">
        <v>86</v>
      </c>
      <c r="C20" s="38">
        <v>63</v>
      </c>
      <c r="D20" s="40">
        <f t="shared" si="0"/>
        <v>74.5</v>
      </c>
      <c r="E20" s="40">
        <f t="shared" si="1"/>
        <v>0</v>
      </c>
      <c r="F20" s="40">
        <f t="shared" si="2"/>
        <v>9.5</v>
      </c>
      <c r="G20" s="61">
        <v>0</v>
      </c>
      <c r="H20" s="41">
        <v>0</v>
      </c>
      <c r="I20" s="38">
        <v>34</v>
      </c>
      <c r="J20" s="148">
        <v>340</v>
      </c>
      <c r="K20" s="9"/>
      <c r="L20" s="9"/>
      <c r="M20" s="15">
        <f t="shared" si="3"/>
        <v>74.5</v>
      </c>
    </row>
    <row r="21" spans="1:13" ht="13.5" x14ac:dyDescent="0.25">
      <c r="A21" s="39">
        <v>11</v>
      </c>
      <c r="B21" s="38">
        <v>89</v>
      </c>
      <c r="C21" s="38">
        <v>60</v>
      </c>
      <c r="D21" s="40">
        <f t="shared" si="0"/>
        <v>74.5</v>
      </c>
      <c r="E21" s="40">
        <f t="shared" si="1"/>
        <v>0</v>
      </c>
      <c r="F21" s="40">
        <f t="shared" si="2"/>
        <v>9.5</v>
      </c>
      <c r="G21" s="61">
        <v>0</v>
      </c>
      <c r="H21" s="41">
        <v>0</v>
      </c>
      <c r="I21" s="38">
        <v>22</v>
      </c>
      <c r="J21" s="148">
        <v>360</v>
      </c>
      <c r="K21" s="9"/>
      <c r="L21" s="9"/>
      <c r="M21" s="15">
        <f t="shared" si="3"/>
        <v>74.5</v>
      </c>
    </row>
    <row r="22" spans="1:13" ht="13.5" x14ac:dyDescent="0.25">
      <c r="A22" s="39">
        <v>12</v>
      </c>
      <c r="B22" s="38">
        <v>95</v>
      </c>
      <c r="C22" s="38">
        <v>53</v>
      </c>
      <c r="D22" s="40">
        <f t="shared" si="0"/>
        <v>74</v>
      </c>
      <c r="E22" s="40">
        <f t="shared" si="1"/>
        <v>0</v>
      </c>
      <c r="F22" s="40">
        <f t="shared" si="2"/>
        <v>9</v>
      </c>
      <c r="G22" s="61">
        <v>0</v>
      </c>
      <c r="H22" s="41">
        <v>0</v>
      </c>
      <c r="I22" s="38">
        <v>13</v>
      </c>
      <c r="J22" s="149">
        <v>230</v>
      </c>
      <c r="K22" s="9"/>
      <c r="L22" s="9"/>
      <c r="M22" s="15">
        <f t="shared" si="3"/>
        <v>74</v>
      </c>
    </row>
    <row r="23" spans="1:13" ht="13.5" x14ac:dyDescent="0.25">
      <c r="A23" s="39">
        <v>13</v>
      </c>
      <c r="B23" s="38">
        <v>104</v>
      </c>
      <c r="C23" s="38">
        <v>62</v>
      </c>
      <c r="D23" s="40">
        <f t="shared" si="0"/>
        <v>83</v>
      </c>
      <c r="E23" s="40">
        <f t="shared" si="1"/>
        <v>0</v>
      </c>
      <c r="F23" s="40">
        <f t="shared" si="2"/>
        <v>18</v>
      </c>
      <c r="G23" s="61">
        <v>0</v>
      </c>
      <c r="H23" s="41">
        <v>0</v>
      </c>
      <c r="I23" s="38">
        <v>19</v>
      </c>
      <c r="J23" s="148">
        <v>200</v>
      </c>
      <c r="K23" s="9"/>
      <c r="L23" s="9"/>
      <c r="M23" s="15">
        <f t="shared" si="3"/>
        <v>83</v>
      </c>
    </row>
    <row r="24" spans="1:13" ht="13.5" x14ac:dyDescent="0.25">
      <c r="A24" s="39">
        <v>14</v>
      </c>
      <c r="B24" s="38">
        <v>104</v>
      </c>
      <c r="C24" s="38">
        <v>72</v>
      </c>
      <c r="D24" s="40">
        <f t="shared" si="0"/>
        <v>88</v>
      </c>
      <c r="E24" s="40">
        <f t="shared" si="1"/>
        <v>0</v>
      </c>
      <c r="F24" s="40">
        <f t="shared" si="2"/>
        <v>23</v>
      </c>
      <c r="G24" s="61">
        <v>0</v>
      </c>
      <c r="H24" s="41">
        <v>0</v>
      </c>
      <c r="I24" s="38">
        <v>22</v>
      </c>
      <c r="J24" s="149">
        <v>120</v>
      </c>
      <c r="K24" s="9"/>
      <c r="L24" s="9"/>
      <c r="M24" s="15">
        <f t="shared" si="3"/>
        <v>88</v>
      </c>
    </row>
    <row r="25" spans="1:13" ht="13.5" x14ac:dyDescent="0.25">
      <c r="A25" s="39">
        <v>15</v>
      </c>
      <c r="B25" s="38">
        <v>100</v>
      </c>
      <c r="C25" s="38">
        <v>73</v>
      </c>
      <c r="D25" s="40">
        <f t="shared" si="0"/>
        <v>86.5</v>
      </c>
      <c r="E25" s="40">
        <f t="shared" si="1"/>
        <v>0</v>
      </c>
      <c r="F25" s="40">
        <f t="shared" si="2"/>
        <v>21.5</v>
      </c>
      <c r="G25" s="61">
        <v>0</v>
      </c>
      <c r="H25" s="41">
        <v>0</v>
      </c>
      <c r="I25" s="38">
        <v>20</v>
      </c>
      <c r="J25" s="148">
        <v>130</v>
      </c>
      <c r="K25" s="9"/>
      <c r="L25" s="9"/>
      <c r="M25" s="15">
        <f t="shared" si="3"/>
        <v>86.5</v>
      </c>
    </row>
    <row r="26" spans="1:13" ht="13.5" x14ac:dyDescent="0.25">
      <c r="A26" s="39">
        <v>16</v>
      </c>
      <c r="B26" s="38">
        <v>101</v>
      </c>
      <c r="C26" s="38">
        <v>78</v>
      </c>
      <c r="D26" s="40">
        <f t="shared" si="0"/>
        <v>89.5</v>
      </c>
      <c r="E26" s="40">
        <f t="shared" si="1"/>
        <v>0</v>
      </c>
      <c r="F26" s="40">
        <f t="shared" si="2"/>
        <v>24.5</v>
      </c>
      <c r="G26" s="61">
        <v>0</v>
      </c>
      <c r="H26" s="41">
        <v>0</v>
      </c>
      <c r="I26" s="38">
        <v>21</v>
      </c>
      <c r="J26" s="148">
        <v>200</v>
      </c>
      <c r="K26" s="9"/>
      <c r="L26" s="9"/>
      <c r="M26" s="15">
        <f t="shared" si="3"/>
        <v>89.5</v>
      </c>
    </row>
    <row r="27" spans="1:13" ht="13.5" x14ac:dyDescent="0.25">
      <c r="A27" s="39">
        <v>17</v>
      </c>
      <c r="B27" s="38">
        <v>101</v>
      </c>
      <c r="C27" s="38">
        <v>79</v>
      </c>
      <c r="D27" s="40">
        <f t="shared" si="0"/>
        <v>90</v>
      </c>
      <c r="E27" s="40">
        <f t="shared" si="1"/>
        <v>0</v>
      </c>
      <c r="F27" s="40">
        <f t="shared" si="2"/>
        <v>25</v>
      </c>
      <c r="G27" s="61">
        <v>0</v>
      </c>
      <c r="H27" s="41">
        <v>0</v>
      </c>
      <c r="I27" s="38">
        <v>32</v>
      </c>
      <c r="J27" s="148">
        <v>150</v>
      </c>
      <c r="K27" s="9"/>
      <c r="L27" s="9"/>
      <c r="M27" s="15">
        <f t="shared" si="3"/>
        <v>90</v>
      </c>
    </row>
    <row r="28" spans="1:13" ht="13.5" x14ac:dyDescent="0.25">
      <c r="A28" s="39">
        <v>18</v>
      </c>
      <c r="B28" s="38">
        <v>97</v>
      </c>
      <c r="C28" s="38">
        <v>77</v>
      </c>
      <c r="D28" s="40">
        <f t="shared" si="0"/>
        <v>87</v>
      </c>
      <c r="E28" s="40">
        <f t="shared" si="1"/>
        <v>0</v>
      </c>
      <c r="F28" s="40">
        <f t="shared" si="2"/>
        <v>22</v>
      </c>
      <c r="G28" s="61">
        <v>0</v>
      </c>
      <c r="H28" s="41">
        <v>0</v>
      </c>
      <c r="I28" s="38">
        <v>29</v>
      </c>
      <c r="J28" s="148">
        <v>170</v>
      </c>
      <c r="K28" s="9"/>
      <c r="L28" s="9"/>
      <c r="M28" s="15">
        <f t="shared" si="3"/>
        <v>87</v>
      </c>
    </row>
    <row r="29" spans="1:13" ht="13.5" x14ac:dyDescent="0.25">
      <c r="A29" s="39">
        <v>19</v>
      </c>
      <c r="B29" s="38">
        <v>95</v>
      </c>
      <c r="C29" s="38">
        <v>79</v>
      </c>
      <c r="D29" s="40">
        <f t="shared" si="0"/>
        <v>87</v>
      </c>
      <c r="E29" s="40">
        <f t="shared" si="1"/>
        <v>0</v>
      </c>
      <c r="F29" s="40">
        <f t="shared" si="2"/>
        <v>22</v>
      </c>
      <c r="G29" s="61">
        <v>0</v>
      </c>
      <c r="H29" s="41">
        <v>0</v>
      </c>
      <c r="I29" s="38">
        <v>19</v>
      </c>
      <c r="J29" s="148">
        <v>180</v>
      </c>
      <c r="K29" s="9"/>
      <c r="L29" s="9"/>
      <c r="M29" s="15">
        <f t="shared" si="3"/>
        <v>87</v>
      </c>
    </row>
    <row r="30" spans="1:13" ht="13.5" x14ac:dyDescent="0.25">
      <c r="A30" s="39">
        <v>20</v>
      </c>
      <c r="B30" s="38">
        <v>101</v>
      </c>
      <c r="C30" s="38">
        <v>80</v>
      </c>
      <c r="D30" s="40">
        <f t="shared" si="0"/>
        <v>90.5</v>
      </c>
      <c r="E30" s="40">
        <f t="shared" si="1"/>
        <v>0</v>
      </c>
      <c r="F30" s="40">
        <f t="shared" si="2"/>
        <v>25.5</v>
      </c>
      <c r="G30" s="61">
        <v>0</v>
      </c>
      <c r="H30" s="41">
        <v>0</v>
      </c>
      <c r="I30" s="38">
        <v>21</v>
      </c>
      <c r="J30" s="148">
        <v>80</v>
      </c>
      <c r="K30" s="9"/>
      <c r="L30" s="9"/>
      <c r="M30" s="15">
        <f t="shared" si="3"/>
        <v>90.5</v>
      </c>
    </row>
    <row r="31" spans="1:13" ht="13.5" x14ac:dyDescent="0.25">
      <c r="A31" s="39">
        <v>21</v>
      </c>
      <c r="B31" s="38">
        <v>99</v>
      </c>
      <c r="C31" s="38">
        <v>76</v>
      </c>
      <c r="D31" s="40">
        <f t="shared" si="0"/>
        <v>87.5</v>
      </c>
      <c r="E31" s="40">
        <f t="shared" si="1"/>
        <v>0</v>
      </c>
      <c r="F31" s="40">
        <f t="shared" si="2"/>
        <v>22.5</v>
      </c>
      <c r="G31" s="61">
        <v>0</v>
      </c>
      <c r="H31" s="41">
        <v>0</v>
      </c>
      <c r="I31" s="38">
        <v>22</v>
      </c>
      <c r="J31" s="148">
        <v>130</v>
      </c>
      <c r="K31" s="9"/>
      <c r="L31" s="9"/>
      <c r="M31" s="15">
        <f t="shared" si="3"/>
        <v>87.5</v>
      </c>
    </row>
    <row r="32" spans="1:13" ht="13.5" x14ac:dyDescent="0.25">
      <c r="A32" s="39">
        <v>22</v>
      </c>
      <c r="B32" s="38">
        <v>101</v>
      </c>
      <c r="C32" s="38">
        <v>78</v>
      </c>
      <c r="D32" s="40">
        <f t="shared" si="0"/>
        <v>89.5</v>
      </c>
      <c r="E32" s="40">
        <f t="shared" si="1"/>
        <v>0</v>
      </c>
      <c r="F32" s="40">
        <f t="shared" si="2"/>
        <v>24.5</v>
      </c>
      <c r="G32" s="61">
        <v>0</v>
      </c>
      <c r="H32" s="41">
        <v>0</v>
      </c>
      <c r="I32" s="38">
        <v>27</v>
      </c>
      <c r="J32" s="148">
        <v>150</v>
      </c>
      <c r="K32" s="9"/>
      <c r="L32" s="9"/>
      <c r="M32" s="15">
        <f t="shared" si="3"/>
        <v>89.5</v>
      </c>
    </row>
    <row r="33" spans="1:13" ht="13.5" x14ac:dyDescent="0.25">
      <c r="A33" s="39">
        <v>23</v>
      </c>
      <c r="B33" s="38">
        <v>96</v>
      </c>
      <c r="C33" s="38">
        <v>69</v>
      </c>
      <c r="D33" s="40">
        <f t="shared" si="0"/>
        <v>82.5</v>
      </c>
      <c r="E33" s="40">
        <f t="shared" si="1"/>
        <v>0</v>
      </c>
      <c r="F33" s="40">
        <f t="shared" si="2"/>
        <v>17.5</v>
      </c>
      <c r="G33" s="61">
        <v>0.47</v>
      </c>
      <c r="H33" s="41">
        <v>0</v>
      </c>
      <c r="I33" s="38">
        <v>30</v>
      </c>
      <c r="J33" s="148">
        <v>10</v>
      </c>
      <c r="K33" s="9"/>
      <c r="L33" s="9"/>
      <c r="M33" s="15">
        <f t="shared" si="3"/>
        <v>82.5</v>
      </c>
    </row>
    <row r="34" spans="1:13" ht="13.5" x14ac:dyDescent="0.25">
      <c r="A34" s="39">
        <v>24</v>
      </c>
      <c r="B34" s="38">
        <v>100</v>
      </c>
      <c r="C34" s="38">
        <v>77</v>
      </c>
      <c r="D34" s="40">
        <f t="shared" si="0"/>
        <v>88.5</v>
      </c>
      <c r="E34" s="40">
        <f t="shared" si="1"/>
        <v>0</v>
      </c>
      <c r="F34" s="40">
        <f t="shared" si="2"/>
        <v>23.5</v>
      </c>
      <c r="G34" s="61">
        <v>0</v>
      </c>
      <c r="H34" s="41">
        <v>0</v>
      </c>
      <c r="I34" s="38">
        <v>27</v>
      </c>
      <c r="J34" s="148">
        <v>130</v>
      </c>
      <c r="K34" s="9"/>
      <c r="L34" s="9"/>
      <c r="M34" s="15">
        <f t="shared" si="3"/>
        <v>88.5</v>
      </c>
    </row>
    <row r="35" spans="1:13" ht="13.5" x14ac:dyDescent="0.25">
      <c r="A35" s="39">
        <v>25</v>
      </c>
      <c r="B35" s="38">
        <v>99</v>
      </c>
      <c r="C35" s="38">
        <v>78</v>
      </c>
      <c r="D35" s="40">
        <f t="shared" si="0"/>
        <v>88.5</v>
      </c>
      <c r="E35" s="40">
        <f t="shared" si="1"/>
        <v>0</v>
      </c>
      <c r="F35" s="40">
        <f t="shared" si="2"/>
        <v>23.5</v>
      </c>
      <c r="G35" s="61">
        <v>0</v>
      </c>
      <c r="H35" s="41">
        <v>0</v>
      </c>
      <c r="I35" s="38">
        <v>27</v>
      </c>
      <c r="J35" s="149">
        <v>110</v>
      </c>
      <c r="K35" s="9"/>
      <c r="L35" s="9"/>
      <c r="M35" s="15">
        <f t="shared" si="3"/>
        <v>88.5</v>
      </c>
    </row>
    <row r="36" spans="1:13" ht="13.5" x14ac:dyDescent="0.25">
      <c r="A36" s="39">
        <v>26</v>
      </c>
      <c r="B36" s="38">
        <v>96</v>
      </c>
      <c r="C36" s="38">
        <v>69</v>
      </c>
      <c r="D36" s="40">
        <f t="shared" si="0"/>
        <v>82.5</v>
      </c>
      <c r="E36" s="40">
        <f t="shared" si="1"/>
        <v>0</v>
      </c>
      <c r="F36" s="40">
        <f t="shared" si="2"/>
        <v>17.5</v>
      </c>
      <c r="G36" s="61">
        <v>0</v>
      </c>
      <c r="H36" s="41">
        <v>0</v>
      </c>
      <c r="I36" s="38">
        <v>28</v>
      </c>
      <c r="J36" s="148">
        <v>40</v>
      </c>
      <c r="K36" s="9"/>
      <c r="L36" s="9"/>
      <c r="M36" s="15">
        <f t="shared" si="3"/>
        <v>82.5</v>
      </c>
    </row>
    <row r="37" spans="1:13" ht="13.5" x14ac:dyDescent="0.25">
      <c r="A37" s="39">
        <v>27</v>
      </c>
      <c r="B37" s="38">
        <v>89</v>
      </c>
      <c r="C37" s="38">
        <v>69</v>
      </c>
      <c r="D37" s="40">
        <f t="shared" si="0"/>
        <v>79</v>
      </c>
      <c r="E37" s="40">
        <f t="shared" si="1"/>
        <v>0</v>
      </c>
      <c r="F37" s="40">
        <f t="shared" si="2"/>
        <v>14</v>
      </c>
      <c r="G37" s="61">
        <v>0</v>
      </c>
      <c r="H37" s="41">
        <v>0</v>
      </c>
      <c r="I37" s="38">
        <v>27</v>
      </c>
      <c r="J37" s="149">
        <v>130</v>
      </c>
      <c r="K37" s="9"/>
      <c r="L37" s="9"/>
      <c r="M37" s="15">
        <f t="shared" si="3"/>
        <v>79</v>
      </c>
    </row>
    <row r="38" spans="1:13" ht="13.5" x14ac:dyDescent="0.25">
      <c r="A38" s="39">
        <v>28</v>
      </c>
      <c r="B38" s="38">
        <v>88</v>
      </c>
      <c r="C38" s="38">
        <v>68</v>
      </c>
      <c r="D38" s="40">
        <f t="shared" si="0"/>
        <v>78</v>
      </c>
      <c r="E38" s="40">
        <f t="shared" si="1"/>
        <v>0</v>
      </c>
      <c r="F38" s="40">
        <f t="shared" si="2"/>
        <v>13</v>
      </c>
      <c r="G38" s="61">
        <v>0</v>
      </c>
      <c r="H38" s="41">
        <v>0</v>
      </c>
      <c r="I38" s="38">
        <v>30</v>
      </c>
      <c r="J38" s="148">
        <v>350</v>
      </c>
      <c r="K38" s="9"/>
      <c r="L38" s="9"/>
      <c r="M38" s="15">
        <f t="shared" si="3"/>
        <v>78</v>
      </c>
    </row>
    <row r="39" spans="1:13" ht="13.5" x14ac:dyDescent="0.25">
      <c r="A39" s="39">
        <v>29</v>
      </c>
      <c r="B39" s="38">
        <v>91</v>
      </c>
      <c r="C39" s="38">
        <v>74</v>
      </c>
      <c r="D39" s="40">
        <f t="shared" si="0"/>
        <v>82.5</v>
      </c>
      <c r="E39" s="40">
        <f t="shared" si="1"/>
        <v>0</v>
      </c>
      <c r="F39" s="40">
        <f t="shared" si="2"/>
        <v>17.5</v>
      </c>
      <c r="G39" s="61">
        <v>0</v>
      </c>
      <c r="H39" s="41">
        <v>0</v>
      </c>
      <c r="I39" s="38">
        <v>16</v>
      </c>
      <c r="J39" s="148">
        <v>140</v>
      </c>
      <c r="K39" s="9"/>
      <c r="L39" s="9"/>
      <c r="M39" s="15">
        <f t="shared" si="3"/>
        <v>82.5</v>
      </c>
    </row>
    <row r="40" spans="1:13" ht="13.5" x14ac:dyDescent="0.25">
      <c r="A40" s="39">
        <v>30</v>
      </c>
      <c r="B40" s="38">
        <v>87</v>
      </c>
      <c r="C40" s="38">
        <v>69</v>
      </c>
      <c r="D40" s="40">
        <f t="shared" si="0"/>
        <v>78</v>
      </c>
      <c r="E40" s="40">
        <f t="shared" si="1"/>
        <v>0</v>
      </c>
      <c r="F40" s="40">
        <f t="shared" si="2"/>
        <v>13</v>
      </c>
      <c r="G40" s="61">
        <v>1.58</v>
      </c>
      <c r="H40" s="41">
        <v>0</v>
      </c>
      <c r="I40" s="38">
        <v>32</v>
      </c>
      <c r="J40" s="148">
        <v>20</v>
      </c>
      <c r="K40" s="9"/>
      <c r="L40" s="9"/>
      <c r="M40" s="15">
        <f t="shared" si="3"/>
        <v>78</v>
      </c>
    </row>
    <row r="41" spans="1:13" ht="13.5" x14ac:dyDescent="0.25">
      <c r="A41" s="166">
        <v>31</v>
      </c>
      <c r="B41" s="153">
        <v>88</v>
      </c>
      <c r="C41" s="153">
        <v>71</v>
      </c>
      <c r="D41" s="167">
        <f t="shared" si="0"/>
        <v>79.5</v>
      </c>
      <c r="E41" s="167">
        <f t="shared" si="1"/>
        <v>0</v>
      </c>
      <c r="F41" s="167">
        <f t="shared" si="2"/>
        <v>14.5</v>
      </c>
      <c r="G41" s="151">
        <v>0</v>
      </c>
      <c r="H41" s="152">
        <v>0</v>
      </c>
      <c r="I41" s="153">
        <v>13</v>
      </c>
      <c r="J41" s="154">
        <v>220</v>
      </c>
      <c r="K41" s="9"/>
      <c r="L41" s="9"/>
      <c r="M41" s="15">
        <f t="shared" si="3"/>
        <v>79.5</v>
      </c>
    </row>
    <row r="42" spans="1:13" ht="13.5" x14ac:dyDescent="0.25">
      <c r="A42" s="39" t="s">
        <v>24</v>
      </c>
      <c r="B42" s="35" t="s">
        <v>25</v>
      </c>
      <c r="C42" s="35" t="s">
        <v>25</v>
      </c>
      <c r="D42" s="40">
        <f>SUM(D11:D41)</f>
        <v>2535</v>
      </c>
      <c r="E42" s="40">
        <f>SUM(E11:E41)</f>
        <v>0</v>
      </c>
      <c r="F42" s="40">
        <f>SUM(F11:F41)</f>
        <v>520</v>
      </c>
      <c r="G42" s="155">
        <f>SUM(G11:G41)</f>
        <v>2.12</v>
      </c>
      <c r="H42" s="41">
        <f>SUM(H11:H41)</f>
        <v>0</v>
      </c>
      <c r="I42" s="40" t="s">
        <v>25</v>
      </c>
      <c r="J42" s="156" t="s">
        <v>25</v>
      </c>
      <c r="K42" s="9"/>
      <c r="L42" s="9"/>
      <c r="M42" s="15">
        <f>IF(D42=0,65,D42)</f>
        <v>2535</v>
      </c>
    </row>
    <row r="43" spans="1:13" ht="13.5" x14ac:dyDescent="0.25">
      <c r="A43" s="39" t="s">
        <v>26</v>
      </c>
      <c r="B43" s="35">
        <f>MAXA(B11:B41)</f>
        <v>104</v>
      </c>
      <c r="C43" s="35">
        <f>MINA(C11:C41)</f>
        <v>53</v>
      </c>
      <c r="D43" s="40">
        <f>(B43+C43)/2</f>
        <v>78.5</v>
      </c>
      <c r="E43" s="40">
        <f>IF(65-D43&gt;0,65-M43,0)</f>
        <v>0</v>
      </c>
      <c r="F43" s="40">
        <f>IF((D43)-65&lt;0,0,(D43)-65)</f>
        <v>13.5</v>
      </c>
      <c r="G43" s="155">
        <f>MAXA(G11:G41)</f>
        <v>1.58</v>
      </c>
      <c r="H43" s="41">
        <f>MAXA(H12:H41)</f>
        <v>0</v>
      </c>
      <c r="I43" s="35">
        <f>MAXA(I11:I41)</f>
        <v>36</v>
      </c>
      <c r="J43" s="147">
        <v>150</v>
      </c>
      <c r="K43" s="9"/>
      <c r="L43" s="9"/>
      <c r="M43" s="9"/>
    </row>
    <row r="44" spans="1:13" ht="13.5" x14ac:dyDescent="0.25">
      <c r="A44" s="39" t="s">
        <v>27</v>
      </c>
      <c r="B44" s="40">
        <f>AVERAGEA(B11:B41)</f>
        <v>93.451612903225808</v>
      </c>
      <c r="C44" s="40">
        <f>AVERAGEA(C11:C41)</f>
        <v>70.096774193548384</v>
      </c>
      <c r="D44" s="40">
        <f>(B44+C44)/2</f>
        <v>81.774193548387103</v>
      </c>
      <c r="E44" s="40">
        <f>IF(65-D44&gt;0,65-M44,0)</f>
        <v>0</v>
      </c>
      <c r="F44" s="40">
        <f>IF((D44)-65&lt;0,0,(D44)-65)</f>
        <v>16.774193548387103</v>
      </c>
      <c r="G44" s="155">
        <f>AVERAGEA(G11:G41)</f>
        <v>6.8387096774193551E-2</v>
      </c>
      <c r="H44" s="41">
        <f>AVERAGEA(H11:H41)</f>
        <v>0</v>
      </c>
      <c r="I44" s="40">
        <f>AVERAGEA(I11:I41)</f>
        <v>24.129032258064516</v>
      </c>
      <c r="J44" s="156">
        <f>AVERAGEA(J11:J41)</f>
        <v>136.45161290322579</v>
      </c>
      <c r="K44" s="9"/>
      <c r="L44" s="9"/>
      <c r="M44" s="9"/>
    </row>
    <row r="45" spans="1:13" ht="13.5" x14ac:dyDescent="0.25">
      <c r="A45" s="39" t="s">
        <v>28</v>
      </c>
      <c r="B45" s="35">
        <v>104</v>
      </c>
      <c r="C45" s="35">
        <v>41</v>
      </c>
      <c r="D45" s="40">
        <v>76</v>
      </c>
      <c r="E45" s="40">
        <f>AVERAGEA(E12:E41)</f>
        <v>0</v>
      </c>
      <c r="F45" s="40">
        <f>AVERAGEA(F12:F41)</f>
        <v>16.75</v>
      </c>
      <c r="G45" s="155">
        <v>3.7</v>
      </c>
      <c r="H45" s="41" t="s">
        <v>25</v>
      </c>
      <c r="I45" s="35">
        <v>10</v>
      </c>
      <c r="J45" s="156">
        <v>150</v>
      </c>
      <c r="K45" s="9"/>
      <c r="L45" s="9"/>
      <c r="M45" s="9"/>
    </row>
    <row r="46" spans="1:13" ht="13.5" x14ac:dyDescent="0.25">
      <c r="A46" s="27" t="s">
        <v>29</v>
      </c>
      <c r="B46" s="34"/>
      <c r="C46" s="34"/>
      <c r="D46" s="145"/>
      <c r="E46" s="145"/>
      <c r="F46" s="145"/>
      <c r="G46" s="155">
        <f>(G42-G45)</f>
        <v>-1.58</v>
      </c>
      <c r="H46" s="34"/>
      <c r="I46" s="38"/>
      <c r="J46" s="157"/>
      <c r="K46" s="9"/>
      <c r="L46" s="9"/>
      <c r="M46" s="9"/>
    </row>
    <row r="47" spans="1:13" ht="13.5" x14ac:dyDescent="0.25">
      <c r="A47" s="158" t="s">
        <v>76</v>
      </c>
      <c r="B47" s="150"/>
      <c r="C47" s="150"/>
      <c r="D47" s="150"/>
      <c r="E47" s="150"/>
      <c r="F47" s="150"/>
      <c r="G47" s="17"/>
      <c r="H47" s="17"/>
      <c r="I47" s="17"/>
      <c r="J47" s="19"/>
      <c r="K47" s="9"/>
      <c r="L47" s="9"/>
      <c r="M47" s="9"/>
    </row>
    <row r="48" spans="1:13" ht="14.25" thickBot="1" x14ac:dyDescent="0.3">
      <c r="A48" s="159"/>
      <c r="B48" s="160"/>
      <c r="C48" s="160"/>
      <c r="D48" s="160"/>
      <c r="E48" s="160"/>
      <c r="F48" s="160"/>
      <c r="G48" s="21"/>
      <c r="H48" s="21"/>
      <c r="I48" s="21"/>
      <c r="J48" s="22"/>
      <c r="K48" s="9"/>
      <c r="L48" s="9"/>
      <c r="M48" s="9"/>
    </row>
    <row r="49" spans="1:13" ht="13.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1" spans="1:13" x14ac:dyDescent="0.2">
      <c r="A51" s="203"/>
      <c r="B51" s="227" t="s">
        <v>31</v>
      </c>
      <c r="C51" s="227"/>
      <c r="D51" s="227"/>
      <c r="E51" s="227"/>
      <c r="F51" s="227"/>
      <c r="G51" s="227" t="s">
        <v>72</v>
      </c>
      <c r="H51" s="227"/>
      <c r="I51" s="227"/>
      <c r="J51" s="203" t="s">
        <v>73</v>
      </c>
    </row>
    <row r="52" spans="1:13" ht="25.5" x14ac:dyDescent="0.2">
      <c r="A52" s="203"/>
      <c r="B52" s="205" t="s">
        <v>66</v>
      </c>
      <c r="C52" s="205" t="s">
        <v>67</v>
      </c>
      <c r="D52" s="203" t="s">
        <v>16</v>
      </c>
      <c r="E52" s="205" t="s">
        <v>69</v>
      </c>
      <c r="F52" s="205" t="s">
        <v>68</v>
      </c>
      <c r="G52" s="205" t="s">
        <v>12</v>
      </c>
      <c r="H52" s="203" t="s">
        <v>16</v>
      </c>
      <c r="I52" s="205" t="s">
        <v>71</v>
      </c>
      <c r="J52" s="205" t="s">
        <v>70</v>
      </c>
    </row>
    <row r="53" spans="1:13" ht="25.5" x14ac:dyDescent="0.2">
      <c r="A53" s="205" t="s">
        <v>64</v>
      </c>
      <c r="B53" s="35">
        <f>MAXA(B11:B41)</f>
        <v>104</v>
      </c>
      <c r="C53" s="40">
        <f>AVERAGEA(B11:B41)</f>
        <v>93.451612903225808</v>
      </c>
      <c r="D53" s="40">
        <f>(B44+C44)/2</f>
        <v>81.774193548387103</v>
      </c>
      <c r="E53" s="40">
        <f>AVERAGEA(C11:C41)</f>
        <v>70.096774193548384</v>
      </c>
      <c r="F53" s="35">
        <f>MINA(C11:C41)</f>
        <v>53</v>
      </c>
      <c r="G53" s="61">
        <f>SUM(G11:G41)</f>
        <v>2.12</v>
      </c>
      <c r="H53" s="61">
        <f>AVERAGEA(G11:G41)</f>
        <v>6.8387096774193551E-2</v>
      </c>
      <c r="I53" s="61">
        <f>MAXA(G11:G39)</f>
        <v>0.47</v>
      </c>
      <c r="J53" s="206">
        <f>MAXA(I11:I39)</f>
        <v>36</v>
      </c>
    </row>
    <row r="54" spans="1:13" x14ac:dyDescent="0.2">
      <c r="A54" s="203" t="s">
        <v>65</v>
      </c>
      <c r="B54" s="204">
        <v>104</v>
      </c>
      <c r="C54" s="204">
        <v>88</v>
      </c>
      <c r="D54" s="204">
        <v>76</v>
      </c>
      <c r="E54" s="204">
        <v>68</v>
      </c>
      <c r="F54" s="204">
        <v>41</v>
      </c>
      <c r="G54" s="204">
        <v>11.2</v>
      </c>
      <c r="H54" s="204">
        <v>3.7</v>
      </c>
      <c r="I54" s="204">
        <v>8.4</v>
      </c>
      <c r="J54" s="204">
        <v>106</v>
      </c>
    </row>
  </sheetData>
  <mergeCells count="2">
    <mergeCell ref="B51:F51"/>
    <mergeCell ref="G51:I51"/>
  </mergeCells>
  <phoneticPr fontId="0" type="noConversion"/>
  <conditionalFormatting sqref="E53">
    <cfRule type="cellIs" dxfId="72" priority="1" stopIfTrue="1" operator="lessThan">
      <formula>$E$55</formula>
    </cfRule>
  </conditionalFormatting>
  <conditionalFormatting sqref="F53">
    <cfRule type="cellIs" dxfId="71" priority="2" stopIfTrue="1" operator="lessThan">
      <formula>$F$55</formula>
    </cfRule>
  </conditionalFormatting>
  <conditionalFormatting sqref="B53">
    <cfRule type="cellIs" dxfId="70" priority="3" stopIfTrue="1" operator="greaterThan">
      <formula>$B$54</formula>
    </cfRule>
  </conditionalFormatting>
  <conditionalFormatting sqref="C53">
    <cfRule type="cellIs" dxfId="69" priority="4" stopIfTrue="1" operator="greaterThan">
      <formula>$C$54</formula>
    </cfRule>
  </conditionalFormatting>
  <conditionalFormatting sqref="D53">
    <cfRule type="cellIs" dxfId="68" priority="5" stopIfTrue="1" operator="lessThanOrEqual">
      <formula>$D$54</formula>
    </cfRule>
    <cfRule type="cellIs" dxfId="67" priority="6" stopIfTrue="1" operator="greaterThan">
      <formula>$D$54</formula>
    </cfRule>
  </conditionalFormatting>
  <conditionalFormatting sqref="G53">
    <cfRule type="cellIs" dxfId="66" priority="7" stopIfTrue="1" operator="greaterThan">
      <formula>$G$54</formula>
    </cfRule>
  </conditionalFormatting>
  <conditionalFormatting sqref="I53">
    <cfRule type="cellIs" dxfId="65" priority="8" stopIfTrue="1" operator="greaterThan">
      <formula>$I$54</formula>
    </cfRule>
  </conditionalFormatting>
  <conditionalFormatting sqref="J53">
    <cfRule type="cellIs" dxfId="64" priority="9" stopIfTrue="1" operator="greaterThan">
      <formula>$J$54</formula>
    </cfRule>
  </conditionalFormatting>
  <pageMargins left="1.07" right="0.41" top="1" bottom="1" header="0.5" footer="0.5"/>
  <pageSetup scale="9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4B41-E78B-4431-9DC4-E335E0337318}">
  <sheetPr codeName="Sheet6">
    <pageSetUpPr fitToPage="1"/>
  </sheetPr>
  <dimension ref="A1:M54"/>
  <sheetViews>
    <sheetView zoomScaleNormal="100" workbookViewId="0">
      <selection activeCell="E24" sqref="E24"/>
    </sheetView>
  </sheetViews>
  <sheetFormatPr defaultRowHeight="12.75" x14ac:dyDescent="0.2"/>
  <sheetData>
    <row r="1" spans="1:13" ht="13.5" thickBot="1" x14ac:dyDescent="0.25">
      <c r="A1" s="1"/>
      <c r="B1" s="2"/>
      <c r="C1" s="2"/>
      <c r="D1" s="2"/>
      <c r="E1" s="2"/>
      <c r="F1" s="2"/>
      <c r="G1" s="2"/>
      <c r="H1" s="2"/>
      <c r="I1" s="2"/>
      <c r="J1" s="3"/>
    </row>
    <row r="2" spans="1:13" ht="15.75" x14ac:dyDescent="0.25">
      <c r="A2" s="75" t="s">
        <v>79</v>
      </c>
      <c r="B2" s="65"/>
      <c r="C2" s="76"/>
      <c r="D2" s="77"/>
      <c r="E2" s="77"/>
      <c r="F2" s="77"/>
      <c r="G2" s="77"/>
      <c r="H2" s="77"/>
      <c r="I2" s="77"/>
      <c r="J2" s="78"/>
      <c r="K2" s="4"/>
      <c r="L2" s="4"/>
      <c r="M2" s="4"/>
    </row>
    <row r="3" spans="1:13" ht="15.75" x14ac:dyDescent="0.25">
      <c r="A3" s="67" t="s">
        <v>0</v>
      </c>
      <c r="B3" s="63"/>
      <c r="C3" s="68"/>
      <c r="D3" s="69"/>
      <c r="E3" s="69"/>
      <c r="F3" s="69"/>
      <c r="G3" s="69"/>
      <c r="H3" s="69"/>
      <c r="I3" s="63"/>
      <c r="J3" s="70"/>
      <c r="K3" s="4"/>
      <c r="L3" s="4"/>
      <c r="M3" s="4"/>
    </row>
    <row r="4" spans="1:13" ht="15.75" x14ac:dyDescent="0.25">
      <c r="A4" s="71" t="s">
        <v>1</v>
      </c>
      <c r="B4" s="63"/>
      <c r="C4" s="68"/>
      <c r="D4" s="69"/>
      <c r="E4" s="69"/>
      <c r="F4" s="72"/>
      <c r="G4" s="69"/>
      <c r="H4" s="69"/>
      <c r="I4" s="63"/>
      <c r="J4" s="70"/>
      <c r="K4" s="4"/>
      <c r="L4" s="4"/>
      <c r="M4" s="4"/>
    </row>
    <row r="5" spans="1:13" ht="15.75" x14ac:dyDescent="0.25">
      <c r="A5" s="73" t="s">
        <v>86</v>
      </c>
      <c r="B5" s="69"/>
      <c r="C5" s="74"/>
      <c r="D5" s="69"/>
      <c r="E5" s="69"/>
      <c r="F5" s="69"/>
      <c r="G5" s="69"/>
      <c r="H5" s="69"/>
      <c r="I5" s="69"/>
      <c r="J5" s="70"/>
      <c r="K5" s="4"/>
      <c r="L5" s="4"/>
      <c r="M5" s="4"/>
    </row>
    <row r="6" spans="1:13" ht="16.5" thickBot="1" x14ac:dyDescent="0.3">
      <c r="A6" s="5"/>
      <c r="B6" s="6"/>
      <c r="C6" s="6"/>
      <c r="D6" s="7"/>
      <c r="E6" s="7"/>
      <c r="F6" s="7"/>
      <c r="G6" s="7"/>
      <c r="H6" s="7"/>
      <c r="I6" s="7"/>
      <c r="J6" s="8"/>
      <c r="K6" s="58"/>
      <c r="L6" s="58"/>
      <c r="M6" s="4"/>
    </row>
    <row r="7" spans="1:13" ht="13.5" x14ac:dyDescent="0.25">
      <c r="A7" s="82"/>
      <c r="B7" s="83" t="s">
        <v>2</v>
      </c>
      <c r="C7" s="84"/>
      <c r="D7" s="84"/>
      <c r="E7" s="84"/>
      <c r="F7" s="84"/>
      <c r="G7" s="85" t="s">
        <v>3</v>
      </c>
      <c r="H7" s="84"/>
      <c r="I7" s="83" t="s">
        <v>4</v>
      </c>
      <c r="J7" s="86"/>
      <c r="K7" s="9"/>
      <c r="L7" s="16"/>
      <c r="M7" s="9"/>
    </row>
    <row r="8" spans="1:13" ht="13.5" x14ac:dyDescent="0.25">
      <c r="A8" s="82"/>
      <c r="B8" s="84"/>
      <c r="C8" s="84"/>
      <c r="D8" s="85" t="s">
        <v>5</v>
      </c>
      <c r="E8" s="84"/>
      <c r="F8" s="84"/>
      <c r="G8" s="83" t="s">
        <v>6</v>
      </c>
      <c r="H8" s="143" t="s">
        <v>7</v>
      </c>
      <c r="I8" s="84"/>
      <c r="J8" s="86"/>
      <c r="K8" s="9"/>
      <c r="L8" s="9"/>
      <c r="M8" s="9"/>
    </row>
    <row r="9" spans="1:13" ht="13.5" x14ac:dyDescent="0.25">
      <c r="A9" s="82"/>
      <c r="B9" s="85" t="s">
        <v>8</v>
      </c>
      <c r="C9" s="84"/>
      <c r="D9" s="85" t="s">
        <v>9</v>
      </c>
      <c r="E9" s="84"/>
      <c r="F9" s="84"/>
      <c r="G9" s="83" t="s">
        <v>10</v>
      </c>
      <c r="H9" s="143" t="s">
        <v>11</v>
      </c>
      <c r="I9" s="83" t="s">
        <v>12</v>
      </c>
      <c r="J9" s="92" t="s">
        <v>13</v>
      </c>
      <c r="K9" s="9"/>
      <c r="L9" s="9"/>
      <c r="M9" s="9"/>
    </row>
    <row r="10" spans="1:13" ht="13.5" x14ac:dyDescent="0.25">
      <c r="A10" s="91" t="s">
        <v>14</v>
      </c>
      <c r="B10" s="83" t="s">
        <v>12</v>
      </c>
      <c r="C10" s="83" t="s">
        <v>15</v>
      </c>
      <c r="D10" s="83" t="s">
        <v>16</v>
      </c>
      <c r="E10" s="83" t="s">
        <v>17</v>
      </c>
      <c r="F10" s="83" t="s">
        <v>18</v>
      </c>
      <c r="G10" s="83" t="s">
        <v>19</v>
      </c>
      <c r="H10" s="83" t="s">
        <v>20</v>
      </c>
      <c r="I10" s="83" t="s">
        <v>21</v>
      </c>
      <c r="J10" s="92" t="s">
        <v>22</v>
      </c>
      <c r="K10" s="10" t="s">
        <v>23</v>
      </c>
      <c r="L10" s="9"/>
      <c r="M10" s="9"/>
    </row>
    <row r="11" spans="1:13" ht="14.25" thickBot="1" x14ac:dyDescent="0.3">
      <c r="A11" s="66"/>
      <c r="B11" s="55"/>
      <c r="C11" s="55"/>
      <c r="D11" s="55"/>
      <c r="E11" s="55"/>
      <c r="F11" s="55"/>
      <c r="G11" s="55"/>
      <c r="H11" s="55"/>
      <c r="I11" s="55"/>
      <c r="J11" s="56"/>
      <c r="K11" s="60"/>
      <c r="L11" s="59"/>
      <c r="M11" s="9"/>
    </row>
    <row r="12" spans="1:13" ht="13.5" x14ac:dyDescent="0.25">
      <c r="A12" s="39">
        <v>1</v>
      </c>
      <c r="B12" s="35">
        <v>96</v>
      </c>
      <c r="C12" s="35">
        <v>73</v>
      </c>
      <c r="D12" s="40">
        <f t="shared" ref="D12:D40" si="0">(B12+C12)/2</f>
        <v>84.5</v>
      </c>
      <c r="E12" s="40">
        <f t="shared" ref="E12:E40" si="1">IF(65-D12&gt;0,65-M12,0)</f>
        <v>0</v>
      </c>
      <c r="F12" s="40">
        <f t="shared" ref="F12:F40" si="2">IF((D12)-65&lt;0,0,(D12)-65)</f>
        <v>19.5</v>
      </c>
      <c r="G12" s="146">
        <v>0</v>
      </c>
      <c r="H12" s="41">
        <v>0</v>
      </c>
      <c r="I12" s="35">
        <v>23</v>
      </c>
      <c r="J12" s="156">
        <v>140</v>
      </c>
      <c r="K12" s="16"/>
      <c r="L12" s="16"/>
      <c r="M12" s="15">
        <f t="shared" ref="M12:M40" si="3">IF(D12=0,65,D12)</f>
        <v>84.5</v>
      </c>
    </row>
    <row r="13" spans="1:13" ht="13.5" x14ac:dyDescent="0.25">
      <c r="A13" s="39">
        <v>2</v>
      </c>
      <c r="B13" s="35">
        <v>94</v>
      </c>
      <c r="C13" s="35">
        <v>73</v>
      </c>
      <c r="D13" s="40">
        <f t="shared" si="0"/>
        <v>83.5</v>
      </c>
      <c r="E13" s="40">
        <f t="shared" si="1"/>
        <v>0</v>
      </c>
      <c r="F13" s="40">
        <f t="shared" si="2"/>
        <v>18.5</v>
      </c>
      <c r="G13" s="61">
        <v>0</v>
      </c>
      <c r="H13" s="41">
        <v>0</v>
      </c>
      <c r="I13" s="35">
        <v>20</v>
      </c>
      <c r="J13" s="147">
        <v>100</v>
      </c>
      <c r="K13" s="9"/>
      <c r="L13" s="9"/>
      <c r="M13" s="15">
        <f t="shared" si="3"/>
        <v>83.5</v>
      </c>
    </row>
    <row r="14" spans="1:13" ht="13.5" x14ac:dyDescent="0.25">
      <c r="A14" s="39">
        <v>3</v>
      </c>
      <c r="B14" s="35">
        <v>93</v>
      </c>
      <c r="C14" s="35">
        <v>78</v>
      </c>
      <c r="D14" s="40">
        <f t="shared" si="0"/>
        <v>85.5</v>
      </c>
      <c r="E14" s="40">
        <f t="shared" si="1"/>
        <v>0</v>
      </c>
      <c r="F14" s="40">
        <f t="shared" si="2"/>
        <v>20.5</v>
      </c>
      <c r="G14" s="61">
        <v>0</v>
      </c>
      <c r="H14" s="41">
        <v>0</v>
      </c>
      <c r="I14" s="35">
        <v>21</v>
      </c>
      <c r="J14" s="147">
        <v>150</v>
      </c>
      <c r="K14" s="9"/>
      <c r="L14" s="9"/>
      <c r="M14" s="15">
        <f t="shared" si="3"/>
        <v>85.5</v>
      </c>
    </row>
    <row r="15" spans="1:13" ht="13.5" x14ac:dyDescent="0.25">
      <c r="A15" s="39">
        <v>4</v>
      </c>
      <c r="B15" s="35">
        <v>95</v>
      </c>
      <c r="C15" s="35">
        <v>79</v>
      </c>
      <c r="D15" s="40">
        <f t="shared" si="0"/>
        <v>87</v>
      </c>
      <c r="E15" s="40">
        <f t="shared" si="1"/>
        <v>0</v>
      </c>
      <c r="F15" s="40">
        <f t="shared" si="2"/>
        <v>22</v>
      </c>
      <c r="G15" s="61">
        <v>0</v>
      </c>
      <c r="H15" s="41">
        <v>0</v>
      </c>
      <c r="I15" s="35">
        <v>21</v>
      </c>
      <c r="J15" s="147">
        <v>130</v>
      </c>
      <c r="K15" s="9"/>
      <c r="L15" s="9"/>
      <c r="M15" s="15">
        <f t="shared" si="3"/>
        <v>87</v>
      </c>
    </row>
    <row r="16" spans="1:13" ht="13.5" x14ac:dyDescent="0.25">
      <c r="A16" s="39">
        <v>5</v>
      </c>
      <c r="B16" s="35">
        <v>96</v>
      </c>
      <c r="C16" s="35">
        <v>78</v>
      </c>
      <c r="D16" s="40">
        <f t="shared" si="0"/>
        <v>87</v>
      </c>
      <c r="E16" s="40">
        <f t="shared" si="1"/>
        <v>0</v>
      </c>
      <c r="F16" s="40">
        <f t="shared" si="2"/>
        <v>22</v>
      </c>
      <c r="G16" s="61">
        <v>0</v>
      </c>
      <c r="H16" s="41">
        <v>0</v>
      </c>
      <c r="I16" s="35">
        <v>23</v>
      </c>
      <c r="J16" s="147">
        <v>130</v>
      </c>
      <c r="K16" s="9"/>
      <c r="L16" s="9"/>
      <c r="M16" s="15">
        <f t="shared" si="3"/>
        <v>87</v>
      </c>
    </row>
    <row r="17" spans="1:13" ht="13.5" x14ac:dyDescent="0.25">
      <c r="A17" s="39">
        <v>6</v>
      </c>
      <c r="B17" s="35">
        <v>97</v>
      </c>
      <c r="C17" s="35">
        <v>77</v>
      </c>
      <c r="D17" s="40">
        <f t="shared" si="0"/>
        <v>87</v>
      </c>
      <c r="E17" s="40">
        <f t="shared" si="1"/>
        <v>0</v>
      </c>
      <c r="F17" s="40">
        <f t="shared" si="2"/>
        <v>22</v>
      </c>
      <c r="G17" s="61">
        <v>0</v>
      </c>
      <c r="H17" s="41">
        <v>0</v>
      </c>
      <c r="I17" s="35">
        <v>25</v>
      </c>
      <c r="J17" s="147">
        <v>130</v>
      </c>
      <c r="K17" s="9"/>
      <c r="L17" s="9"/>
      <c r="M17" s="15">
        <f t="shared" si="3"/>
        <v>87</v>
      </c>
    </row>
    <row r="18" spans="1:13" ht="13.5" x14ac:dyDescent="0.25">
      <c r="A18" s="39">
        <v>7</v>
      </c>
      <c r="B18" s="38">
        <v>98</v>
      </c>
      <c r="C18" s="38">
        <v>78</v>
      </c>
      <c r="D18" s="40">
        <f t="shared" si="0"/>
        <v>88</v>
      </c>
      <c r="E18" s="40">
        <f t="shared" si="1"/>
        <v>0</v>
      </c>
      <c r="F18" s="40">
        <f t="shared" si="2"/>
        <v>23</v>
      </c>
      <c r="G18" s="61">
        <v>0</v>
      </c>
      <c r="H18" s="41">
        <v>0</v>
      </c>
      <c r="I18" s="38">
        <v>20</v>
      </c>
      <c r="J18" s="148">
        <v>120</v>
      </c>
      <c r="K18" s="9"/>
      <c r="L18" s="9"/>
      <c r="M18" s="15">
        <f t="shared" si="3"/>
        <v>88</v>
      </c>
    </row>
    <row r="19" spans="1:13" ht="13.5" x14ac:dyDescent="0.25">
      <c r="A19" s="39">
        <v>8</v>
      </c>
      <c r="B19" s="38">
        <v>99</v>
      </c>
      <c r="C19" s="38">
        <v>78</v>
      </c>
      <c r="D19" s="40">
        <f t="shared" si="0"/>
        <v>88.5</v>
      </c>
      <c r="E19" s="40">
        <f t="shared" si="1"/>
        <v>0</v>
      </c>
      <c r="F19" s="40">
        <f t="shared" si="2"/>
        <v>23.5</v>
      </c>
      <c r="G19" s="61">
        <v>0</v>
      </c>
      <c r="H19" s="41">
        <v>0</v>
      </c>
      <c r="I19" s="38">
        <v>24</v>
      </c>
      <c r="J19" s="148">
        <v>140</v>
      </c>
      <c r="K19" s="9"/>
      <c r="L19" s="9"/>
      <c r="M19" s="15">
        <f t="shared" si="3"/>
        <v>88.5</v>
      </c>
    </row>
    <row r="20" spans="1:13" ht="13.5" x14ac:dyDescent="0.25">
      <c r="A20" s="39">
        <v>9</v>
      </c>
      <c r="B20" s="38">
        <v>99</v>
      </c>
      <c r="C20" s="38">
        <v>78</v>
      </c>
      <c r="D20" s="40">
        <f t="shared" si="0"/>
        <v>88.5</v>
      </c>
      <c r="E20" s="40">
        <f t="shared" si="1"/>
        <v>0</v>
      </c>
      <c r="F20" s="40">
        <f t="shared" si="2"/>
        <v>23.5</v>
      </c>
      <c r="G20" s="61">
        <v>0</v>
      </c>
      <c r="H20" s="41">
        <v>0</v>
      </c>
      <c r="I20" s="38">
        <v>20</v>
      </c>
      <c r="J20" s="148">
        <v>140</v>
      </c>
      <c r="K20" s="9"/>
      <c r="L20" s="9"/>
      <c r="M20" s="15">
        <f t="shared" si="3"/>
        <v>88.5</v>
      </c>
    </row>
    <row r="21" spans="1:13" ht="13.5" x14ac:dyDescent="0.25">
      <c r="A21" s="39">
        <v>10</v>
      </c>
      <c r="B21" s="38">
        <v>96</v>
      </c>
      <c r="C21" s="38">
        <v>76</v>
      </c>
      <c r="D21" s="40">
        <f t="shared" si="0"/>
        <v>86</v>
      </c>
      <c r="E21" s="40">
        <f t="shared" si="1"/>
        <v>0</v>
      </c>
      <c r="F21" s="40">
        <f t="shared" si="2"/>
        <v>21</v>
      </c>
      <c r="G21" s="61">
        <v>0</v>
      </c>
      <c r="H21" s="41">
        <v>0</v>
      </c>
      <c r="I21" s="38">
        <v>36</v>
      </c>
      <c r="J21" s="148">
        <v>240</v>
      </c>
      <c r="K21" s="9"/>
      <c r="L21" s="9"/>
      <c r="M21" s="15">
        <f t="shared" si="3"/>
        <v>86</v>
      </c>
    </row>
    <row r="22" spans="1:13" ht="13.5" x14ac:dyDescent="0.25">
      <c r="A22" s="39">
        <v>11</v>
      </c>
      <c r="B22" s="38">
        <v>88</v>
      </c>
      <c r="C22" s="38">
        <v>70</v>
      </c>
      <c r="D22" s="40">
        <f t="shared" si="0"/>
        <v>79</v>
      </c>
      <c r="E22" s="40">
        <f t="shared" si="1"/>
        <v>0</v>
      </c>
      <c r="F22" s="40">
        <f t="shared" si="2"/>
        <v>14</v>
      </c>
      <c r="G22" s="61">
        <v>0.43</v>
      </c>
      <c r="H22" s="41">
        <v>0</v>
      </c>
      <c r="I22" s="38">
        <v>41</v>
      </c>
      <c r="J22" s="148">
        <v>160</v>
      </c>
      <c r="K22" s="9"/>
      <c r="L22" s="9"/>
      <c r="M22" s="15">
        <f t="shared" si="3"/>
        <v>79</v>
      </c>
    </row>
    <row r="23" spans="1:13" ht="13.5" x14ac:dyDescent="0.25">
      <c r="A23" s="39">
        <v>12</v>
      </c>
      <c r="B23" s="38">
        <v>81</v>
      </c>
      <c r="C23" s="38">
        <v>70</v>
      </c>
      <c r="D23" s="40">
        <f t="shared" si="0"/>
        <v>75.5</v>
      </c>
      <c r="E23" s="40">
        <f t="shared" si="1"/>
        <v>0</v>
      </c>
      <c r="F23" s="40">
        <f t="shared" si="2"/>
        <v>10.5</v>
      </c>
      <c r="G23" s="61">
        <v>1.86</v>
      </c>
      <c r="H23" s="41">
        <v>0</v>
      </c>
      <c r="I23" s="38">
        <v>22</v>
      </c>
      <c r="J23" s="148">
        <v>20</v>
      </c>
      <c r="K23" s="9"/>
      <c r="L23" s="9"/>
      <c r="M23" s="15">
        <f t="shared" si="3"/>
        <v>75.5</v>
      </c>
    </row>
    <row r="24" spans="1:13" ht="13.5" x14ac:dyDescent="0.25">
      <c r="A24" s="39">
        <v>13</v>
      </c>
      <c r="B24" s="38">
        <v>94</v>
      </c>
      <c r="C24" s="38">
        <v>70</v>
      </c>
      <c r="D24" s="40">
        <f t="shared" si="0"/>
        <v>82</v>
      </c>
      <c r="E24" s="40">
        <f t="shared" si="1"/>
        <v>0</v>
      </c>
      <c r="F24" s="40">
        <f t="shared" si="2"/>
        <v>17</v>
      </c>
      <c r="G24" s="61">
        <v>0</v>
      </c>
      <c r="H24" s="41">
        <v>0</v>
      </c>
      <c r="I24" s="38">
        <v>21</v>
      </c>
      <c r="J24" s="148">
        <v>130</v>
      </c>
      <c r="K24" s="9"/>
      <c r="L24" s="9"/>
      <c r="M24" s="15">
        <f t="shared" si="3"/>
        <v>82</v>
      </c>
    </row>
    <row r="25" spans="1:13" ht="13.5" x14ac:dyDescent="0.25">
      <c r="A25" s="39">
        <v>14</v>
      </c>
      <c r="B25" s="38">
        <v>94</v>
      </c>
      <c r="C25" s="38">
        <v>79</v>
      </c>
      <c r="D25" s="40">
        <f t="shared" si="0"/>
        <v>86.5</v>
      </c>
      <c r="E25" s="40">
        <f t="shared" si="1"/>
        <v>0</v>
      </c>
      <c r="F25" s="40">
        <f t="shared" si="2"/>
        <v>21.5</v>
      </c>
      <c r="G25" s="61">
        <v>0</v>
      </c>
      <c r="H25" s="41">
        <v>0</v>
      </c>
      <c r="I25" s="38">
        <v>29</v>
      </c>
      <c r="J25" s="148">
        <v>90</v>
      </c>
      <c r="K25" s="9"/>
      <c r="L25" s="9"/>
      <c r="M25" s="15">
        <f t="shared" si="3"/>
        <v>86.5</v>
      </c>
    </row>
    <row r="26" spans="1:13" ht="13.5" x14ac:dyDescent="0.25">
      <c r="A26" s="39">
        <v>15</v>
      </c>
      <c r="B26" s="38">
        <v>95</v>
      </c>
      <c r="C26" s="225">
        <v>73</v>
      </c>
      <c r="D26" s="40">
        <f t="shared" si="0"/>
        <v>84</v>
      </c>
      <c r="E26" s="40">
        <f t="shared" si="1"/>
        <v>0</v>
      </c>
      <c r="F26" s="40">
        <f t="shared" si="2"/>
        <v>19</v>
      </c>
      <c r="G26" s="61">
        <v>0.56999999999999995</v>
      </c>
      <c r="H26" s="41">
        <v>0</v>
      </c>
      <c r="I26" s="38">
        <v>32</v>
      </c>
      <c r="J26" s="148">
        <v>360</v>
      </c>
      <c r="K26" s="9"/>
      <c r="L26" s="9"/>
      <c r="M26" s="15">
        <f t="shared" si="3"/>
        <v>84</v>
      </c>
    </row>
    <row r="27" spans="1:13" ht="13.5" x14ac:dyDescent="0.25">
      <c r="A27" s="39">
        <v>16</v>
      </c>
      <c r="B27" s="38">
        <v>92</v>
      </c>
      <c r="C27" s="38">
        <v>72</v>
      </c>
      <c r="D27" s="40">
        <f t="shared" si="0"/>
        <v>82</v>
      </c>
      <c r="E27" s="40">
        <f t="shared" si="1"/>
        <v>0</v>
      </c>
      <c r="F27" s="40">
        <f t="shared" si="2"/>
        <v>17</v>
      </c>
      <c r="G27" s="61">
        <v>0</v>
      </c>
      <c r="H27" s="41">
        <v>0</v>
      </c>
      <c r="I27" s="38">
        <v>19</v>
      </c>
      <c r="J27" s="148">
        <v>130</v>
      </c>
      <c r="K27" s="9"/>
      <c r="L27" s="9"/>
      <c r="M27" s="15">
        <f t="shared" si="3"/>
        <v>82</v>
      </c>
    </row>
    <row r="28" spans="1:13" ht="13.5" x14ac:dyDescent="0.25">
      <c r="A28" s="39">
        <v>17</v>
      </c>
      <c r="B28" s="38">
        <v>95</v>
      </c>
      <c r="C28" s="38">
        <v>72</v>
      </c>
      <c r="D28" s="40">
        <f t="shared" si="0"/>
        <v>83.5</v>
      </c>
      <c r="E28" s="40">
        <f t="shared" si="1"/>
        <v>0</v>
      </c>
      <c r="F28" s="40">
        <f t="shared" si="2"/>
        <v>18.5</v>
      </c>
      <c r="G28" s="61">
        <v>0</v>
      </c>
      <c r="H28" s="41">
        <v>0</v>
      </c>
      <c r="I28" s="38">
        <v>24</v>
      </c>
      <c r="J28" s="148">
        <v>160</v>
      </c>
      <c r="K28" s="9"/>
      <c r="L28" s="9"/>
      <c r="M28" s="15">
        <f t="shared" si="3"/>
        <v>83.5</v>
      </c>
    </row>
    <row r="29" spans="1:13" ht="13.5" x14ac:dyDescent="0.25">
      <c r="A29" s="39">
        <v>18</v>
      </c>
      <c r="B29" s="38">
        <v>94</v>
      </c>
      <c r="C29" s="38">
        <v>76</v>
      </c>
      <c r="D29" s="40">
        <f t="shared" si="0"/>
        <v>85</v>
      </c>
      <c r="E29" s="40">
        <f t="shared" si="1"/>
        <v>0</v>
      </c>
      <c r="F29" s="40">
        <f t="shared" si="2"/>
        <v>20</v>
      </c>
      <c r="G29" s="61">
        <v>0</v>
      </c>
      <c r="H29" s="41">
        <v>0</v>
      </c>
      <c r="I29" s="38">
        <v>27</v>
      </c>
      <c r="J29" s="148">
        <v>140</v>
      </c>
      <c r="K29" s="9"/>
      <c r="L29" s="9"/>
      <c r="M29" s="15">
        <f t="shared" si="3"/>
        <v>85</v>
      </c>
    </row>
    <row r="30" spans="1:13" ht="13.5" x14ac:dyDescent="0.25">
      <c r="A30" s="39">
        <v>19</v>
      </c>
      <c r="B30" s="38">
        <v>96</v>
      </c>
      <c r="C30" s="38">
        <v>78</v>
      </c>
      <c r="D30" s="40">
        <f t="shared" si="0"/>
        <v>87</v>
      </c>
      <c r="E30" s="40">
        <f t="shared" si="1"/>
        <v>0</v>
      </c>
      <c r="F30" s="40">
        <f t="shared" si="2"/>
        <v>22</v>
      </c>
      <c r="G30" s="61">
        <v>0</v>
      </c>
      <c r="H30" s="41">
        <v>0</v>
      </c>
      <c r="I30" s="38">
        <v>21</v>
      </c>
      <c r="J30" s="148">
        <v>150</v>
      </c>
      <c r="K30" s="9"/>
      <c r="L30" s="9"/>
      <c r="M30" s="15">
        <f t="shared" si="3"/>
        <v>87</v>
      </c>
    </row>
    <row r="31" spans="1:13" ht="13.5" x14ac:dyDescent="0.25">
      <c r="A31" s="39">
        <v>20</v>
      </c>
      <c r="B31" s="38">
        <v>95</v>
      </c>
      <c r="C31" s="38">
        <v>77</v>
      </c>
      <c r="D31" s="40">
        <f t="shared" si="0"/>
        <v>86</v>
      </c>
      <c r="E31" s="40">
        <f t="shared" si="1"/>
        <v>0</v>
      </c>
      <c r="F31" s="40">
        <f t="shared" si="2"/>
        <v>21</v>
      </c>
      <c r="G31" s="61">
        <v>0</v>
      </c>
      <c r="H31" s="41">
        <v>0</v>
      </c>
      <c r="I31" s="38">
        <v>22</v>
      </c>
      <c r="J31" s="148">
        <v>140</v>
      </c>
      <c r="K31" s="9"/>
      <c r="L31" s="9"/>
      <c r="M31" s="15">
        <f t="shared" si="3"/>
        <v>86</v>
      </c>
    </row>
    <row r="32" spans="1:13" ht="13.5" x14ac:dyDescent="0.25">
      <c r="A32" s="39">
        <v>21</v>
      </c>
      <c r="B32" s="38">
        <v>93</v>
      </c>
      <c r="C32" s="38">
        <v>75</v>
      </c>
      <c r="D32" s="40">
        <f t="shared" si="0"/>
        <v>84</v>
      </c>
      <c r="E32" s="40">
        <f t="shared" si="1"/>
        <v>0</v>
      </c>
      <c r="F32" s="40">
        <f t="shared" si="2"/>
        <v>19</v>
      </c>
      <c r="G32" s="61">
        <v>0.12</v>
      </c>
      <c r="H32" s="41">
        <v>0</v>
      </c>
      <c r="I32" s="38">
        <v>39</v>
      </c>
      <c r="J32" s="148">
        <v>170</v>
      </c>
      <c r="K32" s="9"/>
      <c r="L32" s="9"/>
      <c r="M32" s="15">
        <f t="shared" si="3"/>
        <v>84</v>
      </c>
    </row>
    <row r="33" spans="1:13" ht="13.5" x14ac:dyDescent="0.25">
      <c r="A33" s="39">
        <v>22</v>
      </c>
      <c r="B33" s="38">
        <v>95</v>
      </c>
      <c r="C33" s="38">
        <v>77</v>
      </c>
      <c r="D33" s="40">
        <f t="shared" si="0"/>
        <v>86</v>
      </c>
      <c r="E33" s="40">
        <f t="shared" si="1"/>
        <v>0</v>
      </c>
      <c r="F33" s="40">
        <f t="shared" si="2"/>
        <v>21</v>
      </c>
      <c r="G33" s="61">
        <v>0</v>
      </c>
      <c r="H33" s="41">
        <v>0</v>
      </c>
      <c r="I33" s="38">
        <v>25</v>
      </c>
      <c r="J33" s="148">
        <v>150</v>
      </c>
      <c r="K33" s="9"/>
      <c r="L33" s="9"/>
      <c r="M33" s="15">
        <f t="shared" si="3"/>
        <v>86</v>
      </c>
    </row>
    <row r="34" spans="1:13" ht="13.5" x14ac:dyDescent="0.25">
      <c r="A34" s="39">
        <v>23</v>
      </c>
      <c r="B34" s="38">
        <v>95</v>
      </c>
      <c r="C34" s="38">
        <v>77</v>
      </c>
      <c r="D34" s="40">
        <f t="shared" si="0"/>
        <v>86</v>
      </c>
      <c r="E34" s="40">
        <f t="shared" si="1"/>
        <v>0</v>
      </c>
      <c r="F34" s="40">
        <f t="shared" si="2"/>
        <v>21</v>
      </c>
      <c r="G34" s="61">
        <v>0</v>
      </c>
      <c r="H34" s="41">
        <v>0</v>
      </c>
      <c r="I34" s="38">
        <v>25</v>
      </c>
      <c r="J34" s="148">
        <v>130</v>
      </c>
      <c r="K34" s="9"/>
      <c r="L34" s="9"/>
      <c r="M34" s="15">
        <f t="shared" si="3"/>
        <v>86</v>
      </c>
    </row>
    <row r="35" spans="1:13" ht="13.5" x14ac:dyDescent="0.25">
      <c r="A35" s="39">
        <v>24</v>
      </c>
      <c r="B35" s="38">
        <v>96</v>
      </c>
      <c r="C35" s="38">
        <v>77</v>
      </c>
      <c r="D35" s="40">
        <f t="shared" si="0"/>
        <v>86.5</v>
      </c>
      <c r="E35" s="40">
        <f t="shared" si="1"/>
        <v>0</v>
      </c>
      <c r="F35" s="40">
        <f t="shared" si="2"/>
        <v>21.5</v>
      </c>
      <c r="G35" s="61">
        <v>0</v>
      </c>
      <c r="H35" s="41">
        <v>0</v>
      </c>
      <c r="I35" s="38">
        <v>23</v>
      </c>
      <c r="J35" s="148">
        <v>130</v>
      </c>
      <c r="K35" s="9"/>
      <c r="L35" s="9"/>
      <c r="M35" s="15">
        <f t="shared" si="3"/>
        <v>86.5</v>
      </c>
    </row>
    <row r="36" spans="1:13" ht="13.5" x14ac:dyDescent="0.25">
      <c r="A36" s="39">
        <v>25</v>
      </c>
      <c r="B36" s="38">
        <v>96</v>
      </c>
      <c r="C36" s="38">
        <v>76</v>
      </c>
      <c r="D36" s="40">
        <f t="shared" si="0"/>
        <v>86</v>
      </c>
      <c r="E36" s="40">
        <f t="shared" si="1"/>
        <v>0</v>
      </c>
      <c r="F36" s="40">
        <f t="shared" si="2"/>
        <v>21</v>
      </c>
      <c r="G36" s="61">
        <v>0</v>
      </c>
      <c r="H36" s="41">
        <v>0</v>
      </c>
      <c r="I36" s="38">
        <v>27</v>
      </c>
      <c r="J36" s="148">
        <v>150</v>
      </c>
      <c r="K36" s="9"/>
      <c r="L36" s="9"/>
      <c r="M36" s="15">
        <f t="shared" si="3"/>
        <v>86</v>
      </c>
    </row>
    <row r="37" spans="1:13" ht="13.5" x14ac:dyDescent="0.25">
      <c r="A37" s="39">
        <v>26</v>
      </c>
      <c r="B37" s="38">
        <v>96</v>
      </c>
      <c r="C37" s="38">
        <v>77</v>
      </c>
      <c r="D37" s="40">
        <f t="shared" si="0"/>
        <v>86.5</v>
      </c>
      <c r="E37" s="40">
        <f t="shared" si="1"/>
        <v>0</v>
      </c>
      <c r="F37" s="40">
        <f t="shared" si="2"/>
        <v>21.5</v>
      </c>
      <c r="G37" s="61">
        <v>0</v>
      </c>
      <c r="H37" s="41">
        <v>0</v>
      </c>
      <c r="I37" s="38">
        <v>23</v>
      </c>
      <c r="J37" s="148">
        <v>160</v>
      </c>
      <c r="K37" s="9"/>
      <c r="L37" s="9"/>
      <c r="M37" s="15">
        <f t="shared" si="3"/>
        <v>86.5</v>
      </c>
    </row>
    <row r="38" spans="1:13" ht="13.5" x14ac:dyDescent="0.25">
      <c r="A38" s="39">
        <v>27</v>
      </c>
      <c r="B38" s="38">
        <v>96</v>
      </c>
      <c r="C38" s="38">
        <v>76</v>
      </c>
      <c r="D38" s="40">
        <f t="shared" si="0"/>
        <v>86</v>
      </c>
      <c r="E38" s="40">
        <f t="shared" si="1"/>
        <v>0</v>
      </c>
      <c r="F38" s="40">
        <f t="shared" si="2"/>
        <v>21</v>
      </c>
      <c r="G38" s="61">
        <v>0</v>
      </c>
      <c r="H38" s="41">
        <v>0</v>
      </c>
      <c r="I38" s="38">
        <v>19</v>
      </c>
      <c r="J38" s="148">
        <v>100</v>
      </c>
      <c r="K38" s="9"/>
      <c r="L38" s="9"/>
      <c r="M38" s="15">
        <f t="shared" si="3"/>
        <v>86</v>
      </c>
    </row>
    <row r="39" spans="1:13" ht="13.5" x14ac:dyDescent="0.25">
      <c r="A39" s="39">
        <v>28</v>
      </c>
      <c r="B39" s="38">
        <v>98</v>
      </c>
      <c r="C39" s="38">
        <v>76</v>
      </c>
      <c r="D39" s="40">
        <f t="shared" si="0"/>
        <v>87</v>
      </c>
      <c r="E39" s="40">
        <f t="shared" si="1"/>
        <v>0</v>
      </c>
      <c r="F39" s="40">
        <f t="shared" si="2"/>
        <v>22</v>
      </c>
      <c r="G39" s="61">
        <v>0</v>
      </c>
      <c r="H39" s="41">
        <v>0</v>
      </c>
      <c r="I39" s="38">
        <v>23</v>
      </c>
      <c r="J39" s="148">
        <v>140</v>
      </c>
      <c r="K39" s="9"/>
      <c r="L39" s="9"/>
      <c r="M39" s="15">
        <f t="shared" si="3"/>
        <v>87</v>
      </c>
    </row>
    <row r="40" spans="1:13" ht="13.5" x14ac:dyDescent="0.25">
      <c r="A40" s="39">
        <v>29</v>
      </c>
      <c r="B40" s="38">
        <v>97</v>
      </c>
      <c r="C40" s="38">
        <v>76</v>
      </c>
      <c r="D40" s="40">
        <f t="shared" si="0"/>
        <v>86.5</v>
      </c>
      <c r="E40" s="40">
        <f t="shared" si="1"/>
        <v>0</v>
      </c>
      <c r="F40" s="40">
        <f t="shared" si="2"/>
        <v>21.5</v>
      </c>
      <c r="G40" s="61">
        <v>0</v>
      </c>
      <c r="H40" s="41">
        <v>0</v>
      </c>
      <c r="I40" s="38">
        <v>32</v>
      </c>
      <c r="J40" s="148">
        <v>150</v>
      </c>
      <c r="K40" s="9"/>
      <c r="L40" s="9"/>
      <c r="M40" s="15">
        <f t="shared" si="3"/>
        <v>86.5</v>
      </c>
    </row>
    <row r="41" spans="1:13" ht="13.5" x14ac:dyDescent="0.25">
      <c r="A41" s="166">
        <v>30</v>
      </c>
      <c r="B41" s="153">
        <v>94</v>
      </c>
      <c r="C41" s="153">
        <v>74</v>
      </c>
      <c r="D41" s="167">
        <f>(B41+C41)/2</f>
        <v>84</v>
      </c>
      <c r="E41" s="167">
        <f>IF(65-D41&gt;0,65-M41,0)</f>
        <v>0</v>
      </c>
      <c r="F41" s="167">
        <f>IF((D41)-65&lt;0,0,(D41)-65)</f>
        <v>19</v>
      </c>
      <c r="G41" s="151">
        <v>7.0000000000000007E-2</v>
      </c>
      <c r="H41" s="152">
        <v>0</v>
      </c>
      <c r="I41" s="153">
        <v>34</v>
      </c>
      <c r="J41" s="154">
        <v>170</v>
      </c>
      <c r="K41" s="9"/>
      <c r="L41" s="9"/>
      <c r="M41" s="15">
        <f>IF(D41=0,65,D41)</f>
        <v>84</v>
      </c>
    </row>
    <row r="42" spans="1:13" ht="13.5" x14ac:dyDescent="0.25">
      <c r="A42" s="39" t="s">
        <v>24</v>
      </c>
      <c r="B42" s="35" t="s">
        <v>25</v>
      </c>
      <c r="C42" s="35" t="s">
        <v>25</v>
      </c>
      <c r="D42" s="40">
        <f>SUM(D12:D41)</f>
        <v>2554.5</v>
      </c>
      <c r="E42" s="40">
        <f>SUM(E12:E41)</f>
        <v>0</v>
      </c>
      <c r="F42" s="40">
        <f>SUM(F12:F41)</f>
        <v>604.5</v>
      </c>
      <c r="G42" s="61">
        <f>SUM(G12:G41)</f>
        <v>3.05</v>
      </c>
      <c r="H42" s="41">
        <f>SUM(H12:H41)</f>
        <v>0</v>
      </c>
      <c r="I42" s="40" t="s">
        <v>25</v>
      </c>
      <c r="J42" s="156" t="s">
        <v>25</v>
      </c>
      <c r="K42" s="9"/>
      <c r="L42" s="9"/>
      <c r="M42" s="15">
        <f>IF(D42=0,65,D42)</f>
        <v>2554.5</v>
      </c>
    </row>
    <row r="43" spans="1:13" ht="13.5" x14ac:dyDescent="0.25">
      <c r="A43" s="39" t="s">
        <v>26</v>
      </c>
      <c r="B43" s="35">
        <f>MAXA(B12:B41)</f>
        <v>99</v>
      </c>
      <c r="C43" s="35">
        <f>MINA(C12:C41)</f>
        <v>70</v>
      </c>
      <c r="D43" s="40">
        <f>(B43+C43)/2</f>
        <v>84.5</v>
      </c>
      <c r="E43" s="40">
        <f>IF(65-D43&gt;0,65-M43,0)</f>
        <v>0</v>
      </c>
      <c r="F43" s="40">
        <f>IF((D43)-65&lt;0,0,(D43)-65)</f>
        <v>19.5</v>
      </c>
      <c r="G43" s="61">
        <f>MAXA(G13:G41)</f>
        <v>1.86</v>
      </c>
      <c r="H43" s="41">
        <f>MAXA(H13:H41)</f>
        <v>0</v>
      </c>
      <c r="I43" s="35">
        <f>MAXA(I12:I41)</f>
        <v>41</v>
      </c>
      <c r="J43" s="147">
        <v>160</v>
      </c>
      <c r="K43" s="9"/>
      <c r="L43" s="9"/>
      <c r="M43" s="9"/>
    </row>
    <row r="44" spans="1:13" ht="13.5" x14ac:dyDescent="0.25">
      <c r="A44" s="39" t="s">
        <v>27</v>
      </c>
      <c r="B44" s="40">
        <f>AVERAGEA(B12:B41)</f>
        <v>94.766666666666666</v>
      </c>
      <c r="C44" s="40">
        <f>AVERAGEA(C12:C41)</f>
        <v>75.533333333333331</v>
      </c>
      <c r="D44" s="40">
        <f>(B44+C44)/2</f>
        <v>85.15</v>
      </c>
      <c r="E44" s="40">
        <f>IF(65-D44&gt;0,65-M44,0)</f>
        <v>0</v>
      </c>
      <c r="F44" s="40">
        <f>IF((D44)-65&lt;0,0,(D44)-65)</f>
        <v>20.150000000000006</v>
      </c>
      <c r="G44" s="61">
        <f>AVERAGEA(G12:G41)</f>
        <v>0.10166666666666666</v>
      </c>
      <c r="H44" s="41">
        <f>AVERAGEA(H12:H41)</f>
        <v>0</v>
      </c>
      <c r="I44" s="40">
        <f>AVERAGEA(I12:I41)</f>
        <v>25.366666666666667</v>
      </c>
      <c r="J44" s="156">
        <f>AVERAGEA(J12:J41)</f>
        <v>145</v>
      </c>
      <c r="K44" s="9"/>
      <c r="L44" s="9"/>
      <c r="M44" s="9"/>
    </row>
    <row r="45" spans="1:13" ht="13.5" x14ac:dyDescent="0.25">
      <c r="A45" s="39" t="s">
        <v>28</v>
      </c>
      <c r="B45" s="35">
        <v>109</v>
      </c>
      <c r="C45" s="35">
        <v>55</v>
      </c>
      <c r="D45" s="40">
        <v>82</v>
      </c>
      <c r="E45" s="40">
        <f>AVERAGEA(E13:E41)</f>
        <v>0</v>
      </c>
      <c r="F45" s="40">
        <f>AVERAGEA(F13:F41)</f>
        <v>20.172413793103448</v>
      </c>
      <c r="G45" s="61">
        <v>3</v>
      </c>
      <c r="H45" s="41" t="s">
        <v>25</v>
      </c>
      <c r="I45" s="35">
        <v>8</v>
      </c>
      <c r="J45" s="156">
        <v>160</v>
      </c>
      <c r="K45" s="9"/>
      <c r="L45" s="9"/>
      <c r="M45" s="9"/>
    </row>
    <row r="46" spans="1:13" ht="13.5" x14ac:dyDescent="0.25">
      <c r="A46" s="174" t="s">
        <v>29</v>
      </c>
      <c r="B46" s="35"/>
      <c r="C46" s="35"/>
      <c r="D46" s="40"/>
      <c r="E46" s="175"/>
      <c r="F46" s="175"/>
      <c r="G46" s="61">
        <f>(G42-G45)</f>
        <v>4.9999999999999822E-2</v>
      </c>
      <c r="H46" s="41"/>
      <c r="I46" s="35"/>
      <c r="J46" s="156"/>
      <c r="K46" s="9"/>
      <c r="L46" s="9"/>
      <c r="M46" s="9"/>
    </row>
    <row r="47" spans="1:13" ht="13.5" x14ac:dyDescent="0.25">
      <c r="A47" s="158" t="s">
        <v>30</v>
      </c>
      <c r="B47" s="150"/>
      <c r="C47" s="150"/>
      <c r="D47" s="150"/>
      <c r="E47" s="150"/>
      <c r="F47" s="150"/>
      <c r="G47" s="150"/>
      <c r="H47" s="150"/>
      <c r="I47" s="150"/>
      <c r="J47" s="176"/>
      <c r="K47" s="9"/>
      <c r="L47" s="9"/>
      <c r="M47" s="9"/>
    </row>
    <row r="48" spans="1:13" ht="14.25" thickBot="1" x14ac:dyDescent="0.3">
      <c r="A48" s="20"/>
      <c r="B48" s="21"/>
      <c r="C48" s="21"/>
      <c r="D48" s="21"/>
      <c r="E48" s="21"/>
      <c r="F48" s="21"/>
      <c r="G48" s="21"/>
      <c r="H48" s="21"/>
      <c r="I48" s="21"/>
      <c r="J48" s="22"/>
      <c r="K48" s="9"/>
      <c r="L48" s="9"/>
      <c r="M48" s="9"/>
    </row>
    <row r="49" spans="1:13" ht="13.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1" spans="1:13" x14ac:dyDescent="0.2">
      <c r="A51" s="203"/>
      <c r="B51" s="227" t="s">
        <v>31</v>
      </c>
      <c r="C51" s="227"/>
      <c r="D51" s="227"/>
      <c r="E51" s="227"/>
      <c r="F51" s="227"/>
      <c r="G51" s="227" t="s">
        <v>72</v>
      </c>
      <c r="H51" s="227"/>
      <c r="I51" s="227"/>
      <c r="J51" s="203" t="s">
        <v>73</v>
      </c>
    </row>
    <row r="52" spans="1:13" ht="25.5" x14ac:dyDescent="0.2">
      <c r="A52" s="203"/>
      <c r="B52" s="205" t="s">
        <v>66</v>
      </c>
      <c r="C52" s="205" t="s">
        <v>67</v>
      </c>
      <c r="D52" s="203" t="s">
        <v>16</v>
      </c>
      <c r="E52" s="205" t="s">
        <v>69</v>
      </c>
      <c r="F52" s="205" t="s">
        <v>68</v>
      </c>
      <c r="G52" s="205" t="s">
        <v>12</v>
      </c>
      <c r="H52" s="203" t="s">
        <v>16</v>
      </c>
      <c r="I52" s="205" t="s">
        <v>71</v>
      </c>
      <c r="J52" s="205" t="s">
        <v>70</v>
      </c>
    </row>
    <row r="53" spans="1:13" ht="25.5" x14ac:dyDescent="0.2">
      <c r="A53" s="205" t="s">
        <v>64</v>
      </c>
      <c r="B53" s="35">
        <f>MAXA(B11:B41)</f>
        <v>99</v>
      </c>
      <c r="C53" s="40">
        <f>AVERAGEA(B11:B41)</f>
        <v>94.766666666666666</v>
      </c>
      <c r="D53" s="40">
        <f>(B44+C44)/2</f>
        <v>85.15</v>
      </c>
      <c r="E53" s="40">
        <f>AVERAGEA(C11:C41)</f>
        <v>75.533333333333331</v>
      </c>
      <c r="F53" s="35">
        <f>MINA(C11:C41)</f>
        <v>70</v>
      </c>
      <c r="G53" s="61">
        <f>SUM(G11:G41)</f>
        <v>3.05</v>
      </c>
      <c r="H53" s="61">
        <f>AVERAGEA(G11:G41)</f>
        <v>0.10166666666666666</v>
      </c>
      <c r="I53" s="61">
        <f>MAXA(G11:G39)</f>
        <v>1.86</v>
      </c>
      <c r="J53" s="206">
        <f>MAXA(I11:I39)</f>
        <v>41</v>
      </c>
    </row>
    <row r="54" spans="1:13" x14ac:dyDescent="0.2">
      <c r="A54" s="203" t="s">
        <v>65</v>
      </c>
      <c r="B54" s="204">
        <v>109</v>
      </c>
      <c r="C54" s="204">
        <v>93</v>
      </c>
      <c r="D54" s="204">
        <v>82</v>
      </c>
      <c r="E54" s="204">
        <v>73</v>
      </c>
      <c r="F54" s="204">
        <v>55</v>
      </c>
      <c r="G54" s="204">
        <v>13.5</v>
      </c>
      <c r="H54" s="204">
        <v>3</v>
      </c>
      <c r="I54" s="204">
        <v>4.7</v>
      </c>
      <c r="J54" s="204">
        <v>75</v>
      </c>
    </row>
  </sheetData>
  <mergeCells count="2">
    <mergeCell ref="B51:F51"/>
    <mergeCell ref="G51:I51"/>
  </mergeCells>
  <phoneticPr fontId="0" type="noConversion"/>
  <conditionalFormatting sqref="E53">
    <cfRule type="cellIs" dxfId="63" priority="1" stopIfTrue="1" operator="lessThan">
      <formula>$E$55</formula>
    </cfRule>
  </conditionalFormatting>
  <conditionalFormatting sqref="F53">
    <cfRule type="cellIs" dxfId="62" priority="2" stopIfTrue="1" operator="lessThan">
      <formula>$F$55</formula>
    </cfRule>
  </conditionalFormatting>
  <conditionalFormatting sqref="B53">
    <cfRule type="cellIs" dxfId="61" priority="3" stopIfTrue="1" operator="greaterThan">
      <formula>$B$54</formula>
    </cfRule>
  </conditionalFormatting>
  <conditionalFormatting sqref="C53">
    <cfRule type="cellIs" dxfId="60" priority="4" stopIfTrue="1" operator="greaterThan">
      <formula>$C$54</formula>
    </cfRule>
  </conditionalFormatting>
  <conditionalFormatting sqref="D53">
    <cfRule type="cellIs" dxfId="59" priority="5" stopIfTrue="1" operator="lessThanOrEqual">
      <formula>$D$54</formula>
    </cfRule>
    <cfRule type="cellIs" dxfId="58" priority="6" stopIfTrue="1" operator="greaterThan">
      <formula>$D$54</formula>
    </cfRule>
  </conditionalFormatting>
  <conditionalFormatting sqref="G53">
    <cfRule type="cellIs" dxfId="57" priority="7" stopIfTrue="1" operator="greaterThan">
      <formula>$G$54</formula>
    </cfRule>
  </conditionalFormatting>
  <conditionalFormatting sqref="I53">
    <cfRule type="cellIs" dxfId="56" priority="8" stopIfTrue="1" operator="greaterThan">
      <formula>$I$54</formula>
    </cfRule>
  </conditionalFormatting>
  <conditionalFormatting sqref="J53">
    <cfRule type="cellIs" dxfId="55" priority="9" stopIfTrue="1" operator="greaterThan">
      <formula>$J$54</formula>
    </cfRule>
  </conditionalFormatting>
  <pageMargins left="0.75" right="0.75" top="1" bottom="1" header="0.5" footer="0.5"/>
  <pageSetup scale="9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61E9-06A2-4050-9EC9-E3324EDE7405}">
  <sheetPr codeName="Sheet7">
    <pageSetUpPr fitToPage="1"/>
  </sheetPr>
  <dimension ref="A1:M57"/>
  <sheetViews>
    <sheetView topLeftCell="A11" workbookViewId="0">
      <selection activeCell="E24" sqref="E24"/>
    </sheetView>
  </sheetViews>
  <sheetFormatPr defaultRowHeight="12.75" x14ac:dyDescent="0.2"/>
  <cols>
    <col min="2" max="2" width="10.140625" bestFit="1" customWidth="1"/>
    <col min="10" max="10" width="10.28515625" customWidth="1"/>
    <col min="13" max="13" width="9.140625" style="189" customWidth="1"/>
  </cols>
  <sheetData>
    <row r="1" spans="1:13" ht="13.5" thickBot="1" x14ac:dyDescent="0.25">
      <c r="A1" s="1" t="s">
        <v>56</v>
      </c>
      <c r="B1" s="2"/>
      <c r="C1" s="2"/>
      <c r="D1" s="2"/>
      <c r="E1" s="2"/>
      <c r="F1" s="2"/>
      <c r="G1" s="2"/>
      <c r="H1" s="2"/>
      <c r="I1" s="2"/>
      <c r="J1" s="3"/>
    </row>
    <row r="2" spans="1:13" ht="15.75" x14ac:dyDescent="0.25">
      <c r="A2" s="75" t="s">
        <v>79</v>
      </c>
      <c r="B2" s="65"/>
      <c r="C2" s="76"/>
      <c r="D2" s="77"/>
      <c r="E2" s="77"/>
      <c r="F2" s="77"/>
      <c r="G2" s="77"/>
      <c r="H2" s="77"/>
      <c r="I2" s="77"/>
      <c r="J2" s="78"/>
      <c r="K2" s="4"/>
      <c r="L2" s="4"/>
      <c r="M2" s="58"/>
    </row>
    <row r="3" spans="1:13" ht="15.75" x14ac:dyDescent="0.25">
      <c r="A3" s="67" t="s">
        <v>0</v>
      </c>
      <c r="B3" s="63"/>
      <c r="C3" s="68"/>
      <c r="D3" s="69"/>
      <c r="E3" s="69"/>
      <c r="F3" s="69"/>
      <c r="G3" s="69"/>
      <c r="H3" s="69"/>
      <c r="I3" s="63"/>
      <c r="J3" s="70"/>
      <c r="K3" s="4"/>
      <c r="L3" s="4"/>
      <c r="M3" s="58"/>
    </row>
    <row r="4" spans="1:13" ht="15.75" x14ac:dyDescent="0.25">
      <c r="A4" s="71" t="s">
        <v>1</v>
      </c>
      <c r="B4" s="63"/>
      <c r="C4" s="68"/>
      <c r="D4" s="69"/>
      <c r="E4" s="69"/>
      <c r="F4" s="72"/>
      <c r="G4" s="69"/>
      <c r="H4" s="69"/>
      <c r="I4" s="63"/>
      <c r="J4" s="70"/>
      <c r="K4" s="4"/>
      <c r="L4" s="4"/>
      <c r="M4" s="58"/>
    </row>
    <row r="5" spans="1:13" ht="16.5" thickBot="1" x14ac:dyDescent="0.3">
      <c r="A5" s="73" t="s">
        <v>87</v>
      </c>
      <c r="B5" s="69"/>
      <c r="C5" s="74"/>
      <c r="D5" s="69"/>
      <c r="E5" s="69"/>
      <c r="F5" s="69"/>
      <c r="G5" s="69"/>
      <c r="H5" s="69"/>
      <c r="I5" s="69"/>
      <c r="J5" s="70"/>
      <c r="K5" s="58"/>
      <c r="L5" s="4"/>
      <c r="M5" s="58"/>
    </row>
    <row r="6" spans="1:13" ht="16.5" thickBot="1" x14ac:dyDescent="0.3">
      <c r="A6" s="185"/>
      <c r="B6" s="186"/>
      <c r="C6" s="186"/>
      <c r="D6" s="187"/>
      <c r="E6" s="187"/>
      <c r="F6" s="187"/>
      <c r="G6" s="187"/>
      <c r="H6" s="187"/>
      <c r="I6" s="187"/>
      <c r="J6" s="188"/>
      <c r="K6" s="58"/>
      <c r="L6" s="58"/>
      <c r="M6" s="58"/>
    </row>
    <row r="7" spans="1:13" ht="13.5" x14ac:dyDescent="0.25">
      <c r="A7" s="82"/>
      <c r="B7" s="83" t="s">
        <v>2</v>
      </c>
      <c r="C7" s="84"/>
      <c r="D7" s="84"/>
      <c r="E7" s="84"/>
      <c r="F7" s="84"/>
      <c r="G7" s="85" t="s">
        <v>3</v>
      </c>
      <c r="H7" s="84"/>
      <c r="I7" s="83" t="s">
        <v>4</v>
      </c>
      <c r="J7" s="86"/>
      <c r="K7" s="16"/>
      <c r="L7" s="9"/>
      <c r="M7" s="16"/>
    </row>
    <row r="8" spans="1:13" ht="13.5" x14ac:dyDescent="0.25">
      <c r="A8" s="82"/>
      <c r="B8" s="84"/>
      <c r="C8" s="84"/>
      <c r="D8" s="85" t="s">
        <v>5</v>
      </c>
      <c r="E8" s="84"/>
      <c r="F8" s="84"/>
      <c r="G8" s="83" t="s">
        <v>6</v>
      </c>
      <c r="H8" s="143" t="s">
        <v>7</v>
      </c>
      <c r="I8" s="84"/>
      <c r="J8" s="86"/>
      <c r="K8" s="9"/>
      <c r="L8" s="9"/>
      <c r="M8" s="16"/>
    </row>
    <row r="9" spans="1:13" ht="13.5" x14ac:dyDescent="0.25">
      <c r="A9" s="82"/>
      <c r="B9" s="85" t="s">
        <v>8</v>
      </c>
      <c r="C9" s="84"/>
      <c r="D9" s="85" t="s">
        <v>9</v>
      </c>
      <c r="E9" s="84"/>
      <c r="F9" s="84"/>
      <c r="G9" s="83" t="s">
        <v>10</v>
      </c>
      <c r="H9" s="143" t="s">
        <v>11</v>
      </c>
      <c r="I9" s="143" t="s">
        <v>12</v>
      </c>
      <c r="J9" s="177" t="s">
        <v>13</v>
      </c>
      <c r="K9" s="9"/>
      <c r="L9" s="9"/>
      <c r="M9" s="16"/>
    </row>
    <row r="10" spans="1:13" ht="13.5" x14ac:dyDescent="0.25">
      <c r="A10" s="91" t="s">
        <v>14</v>
      </c>
      <c r="B10" s="83" t="s">
        <v>12</v>
      </c>
      <c r="C10" s="83" t="s">
        <v>15</v>
      </c>
      <c r="D10" s="83" t="s">
        <v>16</v>
      </c>
      <c r="E10" s="83" t="s">
        <v>17</v>
      </c>
      <c r="F10" s="83" t="s">
        <v>18</v>
      </c>
      <c r="G10" s="83" t="s">
        <v>19</v>
      </c>
      <c r="H10" s="83" t="s">
        <v>20</v>
      </c>
      <c r="I10" s="83" t="s">
        <v>21</v>
      </c>
      <c r="J10" s="92" t="s">
        <v>22</v>
      </c>
      <c r="K10" s="10" t="s">
        <v>23</v>
      </c>
      <c r="L10" s="9"/>
      <c r="M10" s="16"/>
    </row>
    <row r="11" spans="1:13" ht="14.25" thickBot="1" x14ac:dyDescent="0.3">
      <c r="A11" s="30"/>
      <c r="B11" s="31"/>
      <c r="C11" s="31"/>
      <c r="D11" s="31"/>
      <c r="E11" s="31"/>
      <c r="F11" s="31"/>
      <c r="G11" s="31"/>
      <c r="H11" s="31"/>
      <c r="I11" s="31"/>
      <c r="J11" s="191"/>
      <c r="K11" s="60"/>
      <c r="L11" s="59"/>
      <c r="M11" s="16"/>
    </row>
    <row r="12" spans="1:13" ht="13.5" x14ac:dyDescent="0.25">
      <c r="A12" s="39">
        <v>1</v>
      </c>
      <c r="B12" s="35">
        <v>93</v>
      </c>
      <c r="C12" s="35">
        <v>74</v>
      </c>
      <c r="D12" s="40">
        <f t="shared" ref="D12:D42" si="0">(B12+C12)/2</f>
        <v>83.5</v>
      </c>
      <c r="E12" s="40">
        <f t="shared" ref="E12:E42" si="1">IF(65-D12&gt;0,65-M12,0)</f>
        <v>0</v>
      </c>
      <c r="F12" s="40">
        <f t="shared" ref="F12:F42" si="2">IF((D12)-65&lt;0,0,(D12)-65)</f>
        <v>18.5</v>
      </c>
      <c r="G12" s="146">
        <v>0</v>
      </c>
      <c r="H12" s="41">
        <v>0</v>
      </c>
      <c r="I12" s="35">
        <v>22</v>
      </c>
      <c r="J12" s="147">
        <v>150</v>
      </c>
      <c r="K12" s="9"/>
      <c r="L12" s="9"/>
      <c r="M12" s="190">
        <f t="shared" ref="M12:M42" si="3">IF(D12=0,65,D12)</f>
        <v>83.5</v>
      </c>
    </row>
    <row r="13" spans="1:13" ht="13.5" x14ac:dyDescent="0.25">
      <c r="A13" s="39">
        <v>2</v>
      </c>
      <c r="B13" s="35">
        <v>91</v>
      </c>
      <c r="C13" s="35">
        <v>76</v>
      </c>
      <c r="D13" s="40">
        <f t="shared" si="0"/>
        <v>83.5</v>
      </c>
      <c r="E13" s="40">
        <f t="shared" si="1"/>
        <v>0</v>
      </c>
      <c r="F13" s="40">
        <f t="shared" si="2"/>
        <v>18.5</v>
      </c>
      <c r="G13" s="61">
        <v>0.1</v>
      </c>
      <c r="H13" s="41">
        <v>0</v>
      </c>
      <c r="I13" s="35">
        <v>30</v>
      </c>
      <c r="J13" s="147">
        <v>130</v>
      </c>
      <c r="K13" s="9"/>
      <c r="L13" s="9"/>
      <c r="M13" s="190">
        <f t="shared" si="3"/>
        <v>83.5</v>
      </c>
    </row>
    <row r="14" spans="1:13" ht="13.5" x14ac:dyDescent="0.25">
      <c r="A14" s="39">
        <v>3</v>
      </c>
      <c r="B14" s="35">
        <v>93</v>
      </c>
      <c r="C14" s="35">
        <v>77</v>
      </c>
      <c r="D14" s="40">
        <f t="shared" si="0"/>
        <v>85</v>
      </c>
      <c r="E14" s="40">
        <f t="shared" si="1"/>
        <v>0</v>
      </c>
      <c r="F14" s="40">
        <f t="shared" si="2"/>
        <v>20</v>
      </c>
      <c r="G14" s="61">
        <v>0.14000000000000001</v>
      </c>
      <c r="H14" s="41">
        <v>0</v>
      </c>
      <c r="I14" s="35">
        <v>26</v>
      </c>
      <c r="J14" s="147">
        <v>130</v>
      </c>
      <c r="K14" s="9"/>
      <c r="L14" s="9"/>
      <c r="M14" s="190">
        <f t="shared" si="3"/>
        <v>85</v>
      </c>
    </row>
    <row r="15" spans="1:13" ht="13.5" x14ac:dyDescent="0.25">
      <c r="A15" s="39">
        <v>4</v>
      </c>
      <c r="B15" s="35">
        <v>84</v>
      </c>
      <c r="C15" s="35">
        <v>77</v>
      </c>
      <c r="D15" s="40">
        <f t="shared" si="0"/>
        <v>80.5</v>
      </c>
      <c r="E15" s="40">
        <f t="shared" si="1"/>
        <v>0</v>
      </c>
      <c r="F15" s="40">
        <f t="shared" si="2"/>
        <v>15.5</v>
      </c>
      <c r="G15" s="61">
        <v>0.13</v>
      </c>
      <c r="H15" s="41">
        <v>0</v>
      </c>
      <c r="I15" s="35">
        <v>16</v>
      </c>
      <c r="J15" s="156">
        <v>130</v>
      </c>
      <c r="K15" s="9"/>
      <c r="L15" s="9"/>
      <c r="M15" s="190">
        <f t="shared" si="3"/>
        <v>80.5</v>
      </c>
    </row>
    <row r="16" spans="1:13" ht="13.5" x14ac:dyDescent="0.25">
      <c r="A16" s="39">
        <v>5</v>
      </c>
      <c r="B16" s="35">
        <v>82</v>
      </c>
      <c r="C16" s="35">
        <v>78</v>
      </c>
      <c r="D16" s="40">
        <f t="shared" si="0"/>
        <v>80</v>
      </c>
      <c r="E16" s="40">
        <f t="shared" si="1"/>
        <v>0</v>
      </c>
      <c r="F16" s="40">
        <f t="shared" si="2"/>
        <v>15</v>
      </c>
      <c r="G16" s="61">
        <v>0.01</v>
      </c>
      <c r="H16" s="41">
        <v>0</v>
      </c>
      <c r="I16" s="35">
        <v>15</v>
      </c>
      <c r="J16" s="147">
        <v>170</v>
      </c>
      <c r="K16" s="9"/>
      <c r="L16" s="9"/>
      <c r="M16" s="190">
        <f t="shared" si="3"/>
        <v>80</v>
      </c>
    </row>
    <row r="17" spans="1:13" ht="13.5" x14ac:dyDescent="0.25">
      <c r="A17" s="39">
        <v>6</v>
      </c>
      <c r="B17" s="35">
        <v>79</v>
      </c>
      <c r="C17" s="35">
        <v>75</v>
      </c>
      <c r="D17" s="40">
        <f t="shared" si="0"/>
        <v>77</v>
      </c>
      <c r="E17" s="40">
        <f t="shared" si="1"/>
        <v>0</v>
      </c>
      <c r="F17" s="40">
        <f t="shared" si="2"/>
        <v>12</v>
      </c>
      <c r="G17" s="61">
        <v>0.17</v>
      </c>
      <c r="H17" s="41">
        <v>0</v>
      </c>
      <c r="I17" s="35">
        <v>22</v>
      </c>
      <c r="J17" s="147">
        <v>140</v>
      </c>
      <c r="K17" s="9"/>
      <c r="L17" s="9"/>
      <c r="M17" s="190">
        <f t="shared" si="3"/>
        <v>77</v>
      </c>
    </row>
    <row r="18" spans="1:13" ht="13.5" x14ac:dyDescent="0.25">
      <c r="A18" s="39">
        <v>7</v>
      </c>
      <c r="B18" s="38">
        <v>95</v>
      </c>
      <c r="C18" s="38">
        <v>78</v>
      </c>
      <c r="D18" s="40">
        <f t="shared" si="0"/>
        <v>86.5</v>
      </c>
      <c r="E18" s="40">
        <f t="shared" si="1"/>
        <v>0</v>
      </c>
      <c r="F18" s="40">
        <f t="shared" si="2"/>
        <v>21.5</v>
      </c>
      <c r="G18" s="61">
        <v>0</v>
      </c>
      <c r="H18" s="41">
        <v>0</v>
      </c>
      <c r="I18" s="38">
        <v>23</v>
      </c>
      <c r="J18" s="148">
        <v>130</v>
      </c>
      <c r="K18" s="9"/>
      <c r="L18" s="9"/>
      <c r="M18" s="190">
        <f t="shared" si="3"/>
        <v>86.5</v>
      </c>
    </row>
    <row r="19" spans="1:13" ht="13.5" x14ac:dyDescent="0.25">
      <c r="A19" s="39">
        <v>8</v>
      </c>
      <c r="B19" s="38">
        <v>94</v>
      </c>
      <c r="C19" s="38">
        <v>75</v>
      </c>
      <c r="D19" s="40">
        <f t="shared" si="0"/>
        <v>84.5</v>
      </c>
      <c r="E19" s="40">
        <f t="shared" si="1"/>
        <v>0</v>
      </c>
      <c r="F19" s="40">
        <f t="shared" si="2"/>
        <v>19.5</v>
      </c>
      <c r="G19" s="61">
        <v>0</v>
      </c>
      <c r="H19" s="41">
        <v>0</v>
      </c>
      <c r="I19" s="38">
        <v>28</v>
      </c>
      <c r="J19" s="148">
        <v>150</v>
      </c>
      <c r="K19" s="9"/>
      <c r="L19" s="9"/>
      <c r="M19" s="190">
        <f t="shared" si="3"/>
        <v>84.5</v>
      </c>
    </row>
    <row r="20" spans="1:13" ht="13.5" x14ac:dyDescent="0.25">
      <c r="A20" s="39">
        <v>9</v>
      </c>
      <c r="B20" s="38">
        <v>94</v>
      </c>
      <c r="C20" s="38">
        <v>76</v>
      </c>
      <c r="D20" s="40">
        <f t="shared" si="0"/>
        <v>85</v>
      </c>
      <c r="E20" s="40">
        <f t="shared" si="1"/>
        <v>0</v>
      </c>
      <c r="F20" s="40">
        <f t="shared" si="2"/>
        <v>20</v>
      </c>
      <c r="G20" s="61">
        <v>0</v>
      </c>
      <c r="H20" s="41">
        <v>0</v>
      </c>
      <c r="I20" s="38">
        <v>20</v>
      </c>
      <c r="J20" s="148">
        <v>130</v>
      </c>
      <c r="K20" s="9"/>
      <c r="L20" s="9"/>
      <c r="M20" s="190">
        <f t="shared" si="3"/>
        <v>85</v>
      </c>
    </row>
    <row r="21" spans="1:13" ht="13.5" x14ac:dyDescent="0.25">
      <c r="A21" s="39">
        <v>10</v>
      </c>
      <c r="B21" s="38">
        <v>98</v>
      </c>
      <c r="C21" s="38">
        <v>72</v>
      </c>
      <c r="D21" s="40">
        <f t="shared" si="0"/>
        <v>85</v>
      </c>
      <c r="E21" s="40">
        <f t="shared" si="1"/>
        <v>0</v>
      </c>
      <c r="F21" s="40">
        <f t="shared" si="2"/>
        <v>20</v>
      </c>
      <c r="G21" s="61">
        <v>0</v>
      </c>
      <c r="H21" s="41">
        <v>0</v>
      </c>
      <c r="I21" s="38">
        <v>22</v>
      </c>
      <c r="J21" s="148">
        <v>150</v>
      </c>
      <c r="K21" s="9"/>
      <c r="L21" s="9"/>
      <c r="M21" s="190">
        <f t="shared" si="3"/>
        <v>85</v>
      </c>
    </row>
    <row r="22" spans="1:13" ht="13.5" x14ac:dyDescent="0.25">
      <c r="A22" s="39">
        <v>11</v>
      </c>
      <c r="B22" s="38">
        <v>95</v>
      </c>
      <c r="C22" s="38">
        <v>77</v>
      </c>
      <c r="D22" s="40">
        <f t="shared" si="0"/>
        <v>86</v>
      </c>
      <c r="E22" s="40">
        <f t="shared" si="1"/>
        <v>0</v>
      </c>
      <c r="F22" s="40">
        <f t="shared" si="2"/>
        <v>21</v>
      </c>
      <c r="G22" s="61">
        <v>0</v>
      </c>
      <c r="H22" s="41">
        <v>0</v>
      </c>
      <c r="I22" s="38">
        <v>24</v>
      </c>
      <c r="J22" s="148">
        <v>140</v>
      </c>
      <c r="K22" s="9"/>
      <c r="L22" s="9"/>
      <c r="M22" s="190">
        <f t="shared" si="3"/>
        <v>86</v>
      </c>
    </row>
    <row r="23" spans="1:13" ht="13.5" x14ac:dyDescent="0.25">
      <c r="A23" s="39">
        <v>12</v>
      </c>
      <c r="B23" s="38">
        <v>97</v>
      </c>
      <c r="C23" s="38">
        <v>78</v>
      </c>
      <c r="D23" s="40">
        <f t="shared" si="0"/>
        <v>87.5</v>
      </c>
      <c r="E23" s="40">
        <f t="shared" si="1"/>
        <v>0</v>
      </c>
      <c r="F23" s="40">
        <f t="shared" si="2"/>
        <v>22.5</v>
      </c>
      <c r="G23" s="61">
        <v>0</v>
      </c>
      <c r="H23" s="41">
        <v>0</v>
      </c>
      <c r="I23" s="38">
        <v>25</v>
      </c>
      <c r="J23" s="149">
        <v>130</v>
      </c>
      <c r="K23" s="9"/>
      <c r="L23" s="9"/>
      <c r="M23" s="190">
        <f t="shared" si="3"/>
        <v>87.5</v>
      </c>
    </row>
    <row r="24" spans="1:13" ht="13.5" x14ac:dyDescent="0.25">
      <c r="A24" s="39">
        <v>13</v>
      </c>
      <c r="B24" s="38">
        <v>94</v>
      </c>
      <c r="C24" s="38">
        <v>78</v>
      </c>
      <c r="D24" s="40">
        <f t="shared" si="0"/>
        <v>86</v>
      </c>
      <c r="E24" s="40">
        <f t="shared" si="1"/>
        <v>0</v>
      </c>
      <c r="F24" s="40">
        <f t="shared" si="2"/>
        <v>21</v>
      </c>
      <c r="G24" s="61">
        <v>0</v>
      </c>
      <c r="H24" s="41">
        <v>0</v>
      </c>
      <c r="I24" s="38">
        <v>22</v>
      </c>
      <c r="J24" s="148">
        <v>340</v>
      </c>
      <c r="K24" s="9"/>
      <c r="L24" s="9"/>
      <c r="M24" s="190">
        <f t="shared" si="3"/>
        <v>86</v>
      </c>
    </row>
    <row r="25" spans="1:13" ht="13.5" x14ac:dyDescent="0.25">
      <c r="A25" s="39">
        <v>14</v>
      </c>
      <c r="B25" s="38">
        <v>92</v>
      </c>
      <c r="C25" s="38">
        <v>78</v>
      </c>
      <c r="D25" s="40">
        <f t="shared" si="0"/>
        <v>85</v>
      </c>
      <c r="E25" s="40">
        <f t="shared" si="1"/>
        <v>0</v>
      </c>
      <c r="F25" s="40">
        <f t="shared" si="2"/>
        <v>20</v>
      </c>
      <c r="G25" s="61">
        <v>0</v>
      </c>
      <c r="H25" s="41">
        <v>0</v>
      </c>
      <c r="I25" s="38">
        <v>19</v>
      </c>
      <c r="J25" s="149">
        <v>290</v>
      </c>
      <c r="K25" s="9"/>
      <c r="L25" s="9"/>
      <c r="M25" s="190">
        <f t="shared" si="3"/>
        <v>85</v>
      </c>
    </row>
    <row r="26" spans="1:13" ht="13.5" x14ac:dyDescent="0.25">
      <c r="A26" s="39">
        <v>15</v>
      </c>
      <c r="B26" s="38">
        <v>99</v>
      </c>
      <c r="C26" s="38">
        <v>80</v>
      </c>
      <c r="D26" s="40">
        <f t="shared" si="0"/>
        <v>89.5</v>
      </c>
      <c r="E26" s="40">
        <f t="shared" si="1"/>
        <v>0</v>
      </c>
      <c r="F26" s="40">
        <f t="shared" si="2"/>
        <v>24.5</v>
      </c>
      <c r="G26" s="61">
        <v>0</v>
      </c>
      <c r="H26" s="41">
        <v>0</v>
      </c>
      <c r="I26" s="38">
        <v>22</v>
      </c>
      <c r="J26" s="148">
        <v>150</v>
      </c>
      <c r="K26" s="9"/>
      <c r="L26" s="9"/>
      <c r="M26" s="190">
        <f t="shared" si="3"/>
        <v>89.5</v>
      </c>
    </row>
    <row r="27" spans="1:13" ht="13.5" x14ac:dyDescent="0.25">
      <c r="A27" s="39">
        <v>16</v>
      </c>
      <c r="B27" s="38">
        <v>101</v>
      </c>
      <c r="C27" s="38">
        <v>79</v>
      </c>
      <c r="D27" s="40">
        <f t="shared" si="0"/>
        <v>90</v>
      </c>
      <c r="E27" s="40">
        <f t="shared" si="1"/>
        <v>0</v>
      </c>
      <c r="F27" s="40">
        <f t="shared" si="2"/>
        <v>25</v>
      </c>
      <c r="G27" s="61">
        <v>0</v>
      </c>
      <c r="H27" s="41">
        <v>0</v>
      </c>
      <c r="I27" s="38">
        <v>27</v>
      </c>
      <c r="J27" s="148">
        <v>140</v>
      </c>
      <c r="K27" s="9"/>
      <c r="L27" s="9"/>
      <c r="M27" s="190">
        <f t="shared" si="3"/>
        <v>90</v>
      </c>
    </row>
    <row r="28" spans="1:13" ht="13.5" x14ac:dyDescent="0.25">
      <c r="A28" s="39">
        <v>17</v>
      </c>
      <c r="B28" s="38">
        <v>100</v>
      </c>
      <c r="C28" s="38">
        <v>77</v>
      </c>
      <c r="D28" s="40">
        <f t="shared" si="0"/>
        <v>88.5</v>
      </c>
      <c r="E28" s="40">
        <f t="shared" si="1"/>
        <v>0</v>
      </c>
      <c r="F28" s="40">
        <f t="shared" si="2"/>
        <v>23.5</v>
      </c>
      <c r="G28" s="61">
        <v>0</v>
      </c>
      <c r="H28" s="41">
        <v>0</v>
      </c>
      <c r="I28" s="38">
        <v>20</v>
      </c>
      <c r="J28" s="148">
        <v>130</v>
      </c>
      <c r="K28" s="9"/>
      <c r="L28" s="9"/>
      <c r="M28" s="190">
        <f t="shared" si="3"/>
        <v>88.5</v>
      </c>
    </row>
    <row r="29" spans="1:13" ht="13.5" x14ac:dyDescent="0.25">
      <c r="A29" s="39">
        <v>18</v>
      </c>
      <c r="B29" s="38">
        <v>100</v>
      </c>
      <c r="C29" s="38">
        <v>77</v>
      </c>
      <c r="D29" s="40">
        <f t="shared" si="0"/>
        <v>88.5</v>
      </c>
      <c r="E29" s="40">
        <f t="shared" si="1"/>
        <v>0</v>
      </c>
      <c r="F29" s="40">
        <f t="shared" si="2"/>
        <v>23.5</v>
      </c>
      <c r="G29" s="61">
        <v>0</v>
      </c>
      <c r="H29" s="41">
        <v>0</v>
      </c>
      <c r="I29" s="38">
        <v>23</v>
      </c>
      <c r="J29" s="148">
        <v>150</v>
      </c>
      <c r="K29" s="9"/>
      <c r="L29" s="9"/>
      <c r="M29" s="190">
        <f t="shared" si="3"/>
        <v>88.5</v>
      </c>
    </row>
    <row r="30" spans="1:13" ht="13.5" x14ac:dyDescent="0.25">
      <c r="A30" s="39">
        <v>19</v>
      </c>
      <c r="B30" s="38">
        <v>101</v>
      </c>
      <c r="C30" s="38">
        <v>78</v>
      </c>
      <c r="D30" s="40">
        <f t="shared" si="0"/>
        <v>89.5</v>
      </c>
      <c r="E30" s="40">
        <f t="shared" si="1"/>
        <v>0</v>
      </c>
      <c r="F30" s="40">
        <f t="shared" si="2"/>
        <v>24.5</v>
      </c>
      <c r="G30" s="61">
        <v>0.11</v>
      </c>
      <c r="H30" s="41">
        <v>0</v>
      </c>
      <c r="I30" s="38">
        <v>24</v>
      </c>
      <c r="J30" s="148">
        <v>130</v>
      </c>
      <c r="K30" s="9"/>
      <c r="L30" s="9"/>
      <c r="M30" s="190">
        <f t="shared" si="3"/>
        <v>89.5</v>
      </c>
    </row>
    <row r="31" spans="1:13" ht="13.5" x14ac:dyDescent="0.25">
      <c r="A31" s="39">
        <v>20</v>
      </c>
      <c r="B31" s="38">
        <v>92</v>
      </c>
      <c r="C31" s="38">
        <v>78</v>
      </c>
      <c r="D31" s="40">
        <f t="shared" si="0"/>
        <v>85</v>
      </c>
      <c r="E31" s="40">
        <f t="shared" si="1"/>
        <v>0</v>
      </c>
      <c r="F31" s="40">
        <f t="shared" si="2"/>
        <v>20</v>
      </c>
      <c r="G31" s="61">
        <v>0</v>
      </c>
      <c r="H31" s="41">
        <v>0</v>
      </c>
      <c r="I31" s="38">
        <v>22</v>
      </c>
      <c r="J31" s="148">
        <v>120</v>
      </c>
      <c r="K31" s="9"/>
      <c r="L31" s="9"/>
      <c r="M31" s="190">
        <f t="shared" si="3"/>
        <v>85</v>
      </c>
    </row>
    <row r="32" spans="1:13" ht="13.5" x14ac:dyDescent="0.25">
      <c r="A32" s="39">
        <v>21</v>
      </c>
      <c r="B32" s="38">
        <v>98</v>
      </c>
      <c r="C32" s="38">
        <v>77</v>
      </c>
      <c r="D32" s="40">
        <f t="shared" si="0"/>
        <v>87.5</v>
      </c>
      <c r="E32" s="40">
        <f t="shared" si="1"/>
        <v>0</v>
      </c>
      <c r="F32" s="40">
        <f t="shared" si="2"/>
        <v>22.5</v>
      </c>
      <c r="G32" s="61">
        <v>0</v>
      </c>
      <c r="H32" s="41">
        <v>0</v>
      </c>
      <c r="I32" s="38">
        <v>22</v>
      </c>
      <c r="J32" s="148">
        <v>120</v>
      </c>
      <c r="K32" s="9"/>
      <c r="L32" s="9"/>
      <c r="M32" s="190">
        <f t="shared" si="3"/>
        <v>87.5</v>
      </c>
    </row>
    <row r="33" spans="1:13" ht="13.5" x14ac:dyDescent="0.25">
      <c r="A33" s="39">
        <v>22</v>
      </c>
      <c r="B33" s="38">
        <v>102</v>
      </c>
      <c r="C33" s="38">
        <v>78</v>
      </c>
      <c r="D33" s="40">
        <f t="shared" si="0"/>
        <v>90</v>
      </c>
      <c r="E33" s="40">
        <f t="shared" si="1"/>
        <v>0</v>
      </c>
      <c r="F33" s="40">
        <f t="shared" si="2"/>
        <v>25</v>
      </c>
      <c r="G33" s="61">
        <v>0</v>
      </c>
      <c r="H33" s="41">
        <v>0</v>
      </c>
      <c r="I33" s="38">
        <v>24</v>
      </c>
      <c r="J33" s="148">
        <v>120</v>
      </c>
      <c r="K33" s="9"/>
      <c r="L33" s="9"/>
      <c r="M33" s="190">
        <f t="shared" si="3"/>
        <v>90</v>
      </c>
    </row>
    <row r="34" spans="1:13" ht="13.5" x14ac:dyDescent="0.25">
      <c r="A34" s="39">
        <v>23</v>
      </c>
      <c r="B34" s="38">
        <v>102</v>
      </c>
      <c r="C34" s="38">
        <v>77</v>
      </c>
      <c r="D34" s="40">
        <f t="shared" si="0"/>
        <v>89.5</v>
      </c>
      <c r="E34" s="40">
        <f t="shared" si="1"/>
        <v>0</v>
      </c>
      <c r="F34" s="40">
        <f t="shared" si="2"/>
        <v>24.5</v>
      </c>
      <c r="G34" s="61">
        <v>0</v>
      </c>
      <c r="H34" s="41">
        <v>0</v>
      </c>
      <c r="I34" s="38">
        <v>23</v>
      </c>
      <c r="J34" s="148">
        <v>170</v>
      </c>
      <c r="K34" s="9"/>
      <c r="L34" s="9"/>
      <c r="M34" s="190">
        <f t="shared" si="3"/>
        <v>89.5</v>
      </c>
    </row>
    <row r="35" spans="1:13" ht="13.5" x14ac:dyDescent="0.25">
      <c r="A35" s="39">
        <v>24</v>
      </c>
      <c r="B35" s="38">
        <v>103</v>
      </c>
      <c r="C35" s="38">
        <v>78</v>
      </c>
      <c r="D35" s="40">
        <f t="shared" si="0"/>
        <v>90.5</v>
      </c>
      <c r="E35" s="40">
        <f t="shared" si="1"/>
        <v>0</v>
      </c>
      <c r="F35" s="40">
        <f t="shared" si="2"/>
        <v>25.5</v>
      </c>
      <c r="G35" s="61">
        <v>0</v>
      </c>
      <c r="H35" s="41">
        <v>0</v>
      </c>
      <c r="I35" s="38">
        <v>20</v>
      </c>
      <c r="J35" s="148">
        <v>140</v>
      </c>
      <c r="K35" s="9"/>
      <c r="L35" s="9"/>
      <c r="M35" s="190">
        <f t="shared" si="3"/>
        <v>90.5</v>
      </c>
    </row>
    <row r="36" spans="1:13" ht="13.5" x14ac:dyDescent="0.25">
      <c r="A36" s="39">
        <v>25</v>
      </c>
      <c r="B36" s="38">
        <v>98</v>
      </c>
      <c r="C36" s="38">
        <v>75</v>
      </c>
      <c r="D36" s="40">
        <f t="shared" si="0"/>
        <v>86.5</v>
      </c>
      <c r="E36" s="40">
        <f t="shared" si="1"/>
        <v>0</v>
      </c>
      <c r="F36" s="40">
        <f t="shared" si="2"/>
        <v>21.5</v>
      </c>
      <c r="G36" s="61">
        <v>0</v>
      </c>
      <c r="H36" s="41">
        <v>0</v>
      </c>
      <c r="I36" s="38">
        <v>17</v>
      </c>
      <c r="J36" s="149">
        <v>90</v>
      </c>
      <c r="K36" s="9"/>
      <c r="L36" s="9"/>
      <c r="M36" s="190">
        <f t="shared" si="3"/>
        <v>86.5</v>
      </c>
    </row>
    <row r="37" spans="1:13" ht="13.5" x14ac:dyDescent="0.25">
      <c r="A37" s="39">
        <v>26</v>
      </c>
      <c r="B37" s="38">
        <v>96</v>
      </c>
      <c r="C37" s="38">
        <v>77</v>
      </c>
      <c r="D37" s="40">
        <f t="shared" si="0"/>
        <v>86.5</v>
      </c>
      <c r="E37" s="40">
        <f t="shared" si="1"/>
        <v>0</v>
      </c>
      <c r="F37" s="40">
        <f t="shared" si="2"/>
        <v>21.5</v>
      </c>
      <c r="G37" s="61">
        <v>0</v>
      </c>
      <c r="H37" s="41">
        <v>0</v>
      </c>
      <c r="I37" s="38">
        <v>27</v>
      </c>
      <c r="J37" s="148">
        <v>120</v>
      </c>
      <c r="K37" s="9"/>
      <c r="L37" s="9"/>
      <c r="M37" s="190">
        <f t="shared" si="3"/>
        <v>86.5</v>
      </c>
    </row>
    <row r="38" spans="1:13" ht="13.5" x14ac:dyDescent="0.25">
      <c r="A38" s="39">
        <v>27</v>
      </c>
      <c r="B38" s="38">
        <v>96</v>
      </c>
      <c r="C38" s="38">
        <v>78</v>
      </c>
      <c r="D38" s="40">
        <f t="shared" si="0"/>
        <v>87</v>
      </c>
      <c r="E38" s="40">
        <f t="shared" si="1"/>
        <v>0</v>
      </c>
      <c r="F38" s="40">
        <f t="shared" si="2"/>
        <v>22</v>
      </c>
      <c r="G38" s="61">
        <v>0</v>
      </c>
      <c r="H38" s="41">
        <v>0</v>
      </c>
      <c r="I38" s="38">
        <v>24</v>
      </c>
      <c r="J38" s="149">
        <v>100</v>
      </c>
      <c r="K38" s="9"/>
      <c r="L38" s="9"/>
      <c r="M38" s="190">
        <f t="shared" si="3"/>
        <v>87</v>
      </c>
    </row>
    <row r="39" spans="1:13" ht="13.5" x14ac:dyDescent="0.25">
      <c r="A39" s="39">
        <v>28</v>
      </c>
      <c r="B39" s="38">
        <v>99</v>
      </c>
      <c r="C39" s="38">
        <v>77</v>
      </c>
      <c r="D39" s="40">
        <f t="shared" si="0"/>
        <v>88</v>
      </c>
      <c r="E39" s="40">
        <f t="shared" si="1"/>
        <v>0</v>
      </c>
      <c r="F39" s="40">
        <f t="shared" si="2"/>
        <v>23</v>
      </c>
      <c r="G39" s="61">
        <v>0</v>
      </c>
      <c r="H39" s="41">
        <v>0</v>
      </c>
      <c r="I39" s="38">
        <v>21</v>
      </c>
      <c r="J39" s="148">
        <v>140</v>
      </c>
      <c r="K39" s="9"/>
      <c r="L39" s="9"/>
      <c r="M39" s="190">
        <f t="shared" si="3"/>
        <v>88</v>
      </c>
    </row>
    <row r="40" spans="1:13" ht="13.5" x14ac:dyDescent="0.25">
      <c r="A40" s="39">
        <v>29</v>
      </c>
      <c r="B40" s="38">
        <v>102</v>
      </c>
      <c r="C40" s="38">
        <v>75</v>
      </c>
      <c r="D40" s="40">
        <f t="shared" si="0"/>
        <v>88.5</v>
      </c>
      <c r="E40" s="40">
        <f t="shared" si="1"/>
        <v>0</v>
      </c>
      <c r="F40" s="40">
        <f t="shared" si="2"/>
        <v>23.5</v>
      </c>
      <c r="G40" s="61">
        <v>0</v>
      </c>
      <c r="H40" s="41">
        <v>0</v>
      </c>
      <c r="I40" s="38">
        <v>20</v>
      </c>
      <c r="J40" s="148">
        <v>150</v>
      </c>
      <c r="K40" s="9"/>
      <c r="L40" s="9"/>
      <c r="M40" s="190">
        <f t="shared" si="3"/>
        <v>88.5</v>
      </c>
    </row>
    <row r="41" spans="1:13" ht="13.5" x14ac:dyDescent="0.25">
      <c r="A41" s="39">
        <v>30</v>
      </c>
      <c r="B41" s="38">
        <v>103</v>
      </c>
      <c r="C41" s="38">
        <v>66</v>
      </c>
      <c r="D41" s="40">
        <f t="shared" si="0"/>
        <v>84.5</v>
      </c>
      <c r="E41" s="40">
        <f t="shared" si="1"/>
        <v>0</v>
      </c>
      <c r="F41" s="40">
        <f t="shared" si="2"/>
        <v>19.5</v>
      </c>
      <c r="G41" s="61">
        <v>0</v>
      </c>
      <c r="H41" s="41">
        <v>0</v>
      </c>
      <c r="I41" s="38">
        <v>16</v>
      </c>
      <c r="J41" s="148">
        <v>170</v>
      </c>
      <c r="K41" s="9"/>
      <c r="L41" s="9"/>
      <c r="M41" s="190">
        <f t="shared" si="3"/>
        <v>84.5</v>
      </c>
    </row>
    <row r="42" spans="1:13" ht="13.5" x14ac:dyDescent="0.25">
      <c r="A42" s="166">
        <v>31</v>
      </c>
      <c r="B42" s="153">
        <v>104</v>
      </c>
      <c r="C42" s="153">
        <v>73</v>
      </c>
      <c r="D42" s="167">
        <f t="shared" si="0"/>
        <v>88.5</v>
      </c>
      <c r="E42" s="167">
        <f t="shared" si="1"/>
        <v>0</v>
      </c>
      <c r="F42" s="167">
        <f t="shared" si="2"/>
        <v>23.5</v>
      </c>
      <c r="G42" s="151">
        <v>0</v>
      </c>
      <c r="H42" s="152">
        <v>0</v>
      </c>
      <c r="I42" s="153">
        <v>17</v>
      </c>
      <c r="J42" s="154">
        <v>140</v>
      </c>
      <c r="K42" s="9"/>
      <c r="L42" s="9"/>
      <c r="M42" s="190">
        <f t="shared" si="3"/>
        <v>88.5</v>
      </c>
    </row>
    <row r="43" spans="1:13" ht="13.5" x14ac:dyDescent="0.25">
      <c r="A43" s="39" t="s">
        <v>24</v>
      </c>
      <c r="B43" s="35" t="s">
        <v>25</v>
      </c>
      <c r="C43" s="35" t="s">
        <v>25</v>
      </c>
      <c r="D43" s="40">
        <f>SUM(D12:D42)</f>
        <v>2673</v>
      </c>
      <c r="E43" s="40">
        <f>SUM(E12:E42)</f>
        <v>0</v>
      </c>
      <c r="F43" s="40">
        <f>SUM(F12:F42)</f>
        <v>658</v>
      </c>
      <c r="G43" s="61">
        <f>SUM(G12:G42)</f>
        <v>0.66</v>
      </c>
      <c r="H43" s="41">
        <f>SUM(H12:H42)</f>
        <v>0</v>
      </c>
      <c r="I43" s="40" t="s">
        <v>25</v>
      </c>
      <c r="J43" s="156" t="s">
        <v>25</v>
      </c>
      <c r="K43" s="9"/>
      <c r="L43" s="9"/>
      <c r="M43" s="190">
        <f>IF(D43=0,65,D43)</f>
        <v>2673</v>
      </c>
    </row>
    <row r="44" spans="1:13" ht="13.5" x14ac:dyDescent="0.25">
      <c r="A44" s="39" t="s">
        <v>26</v>
      </c>
      <c r="B44" s="35">
        <f>MAXA(B12:B42)</f>
        <v>104</v>
      </c>
      <c r="C44" s="35">
        <f>MINA(C12:C42)</f>
        <v>66</v>
      </c>
      <c r="D44" s="40">
        <f>(B44+C44)/2</f>
        <v>85</v>
      </c>
      <c r="E44" s="40">
        <f>IF(65-D44&gt;0,65-M44,0)</f>
        <v>0</v>
      </c>
      <c r="F44" s="40">
        <f>IF((D44)-65&lt;0,0,(D44)-65)</f>
        <v>20</v>
      </c>
      <c r="G44" s="61">
        <f>MAXA(G12:G42)</f>
        <v>0.17</v>
      </c>
      <c r="H44" s="41">
        <f>MAXA(H13:H42)</f>
        <v>0</v>
      </c>
      <c r="I44" s="35">
        <f>MAXA(I12:I42)</f>
        <v>30</v>
      </c>
      <c r="J44" s="147">
        <v>130</v>
      </c>
      <c r="K44" s="9"/>
      <c r="L44" s="9"/>
      <c r="M44" s="16"/>
    </row>
    <row r="45" spans="1:13" ht="13.5" x14ac:dyDescent="0.25">
      <c r="A45" s="39" t="s">
        <v>27</v>
      </c>
      <c r="B45" s="40">
        <f>AVERAGEA(B12:B42)</f>
        <v>96.032258064516128</v>
      </c>
      <c r="C45" s="40">
        <f>AVERAGEA(C12:C42)</f>
        <v>76.41935483870968</v>
      </c>
      <c r="D45" s="40">
        <f>(B45+C45)/2</f>
        <v>86.225806451612897</v>
      </c>
      <c r="E45" s="40">
        <f>IF(65-D45&gt;0,65-M45,0)</f>
        <v>0</v>
      </c>
      <c r="F45" s="40">
        <f>IF((D45)-65&lt;0,0,(D45)-65)</f>
        <v>21.225806451612897</v>
      </c>
      <c r="G45" s="61">
        <f>AVERAGEA(G12:G42)</f>
        <v>2.1290322580645161E-2</v>
      </c>
      <c r="H45" s="41">
        <f>AVERAGEA(H12:H42)</f>
        <v>0</v>
      </c>
      <c r="I45" s="40">
        <f>AVERAGEA(I12:I42)</f>
        <v>22.032258064516128</v>
      </c>
      <c r="J45" s="156">
        <f>AVERAGE(J12:J42)</f>
        <v>148.06451612903226</v>
      </c>
      <c r="K45" s="9"/>
      <c r="L45" s="9"/>
      <c r="M45" s="16"/>
    </row>
    <row r="46" spans="1:13" ht="13.5" x14ac:dyDescent="0.25">
      <c r="A46" s="39" t="s">
        <v>28</v>
      </c>
      <c r="B46" s="35">
        <v>108</v>
      </c>
      <c r="C46" s="35">
        <v>61</v>
      </c>
      <c r="D46" s="40">
        <v>85</v>
      </c>
      <c r="E46" s="40">
        <f>AVERAGEA(E13:E42)</f>
        <v>0</v>
      </c>
      <c r="F46" s="40">
        <f>AVERAGEA(F13:F42)</f>
        <v>21.316666666666666</v>
      </c>
      <c r="G46" s="61">
        <v>1.9</v>
      </c>
      <c r="H46" s="41" t="s">
        <v>25</v>
      </c>
      <c r="I46" s="35">
        <v>8</v>
      </c>
      <c r="J46" s="172">
        <v>160</v>
      </c>
      <c r="K46" s="9"/>
      <c r="L46" s="9"/>
      <c r="M46" s="16"/>
    </row>
    <row r="47" spans="1:13" ht="13.5" x14ac:dyDescent="0.25">
      <c r="A47" s="27" t="s">
        <v>29</v>
      </c>
      <c r="B47" s="34"/>
      <c r="C47" s="34"/>
      <c r="D47" s="145"/>
      <c r="E47" s="145"/>
      <c r="F47" s="145"/>
      <c r="G47" s="155">
        <f>(G43-G46)</f>
        <v>-1.2399999999999998</v>
      </c>
      <c r="H47" s="34"/>
      <c r="I47" s="38"/>
      <c r="J47" s="29"/>
      <c r="K47" s="9"/>
      <c r="L47" s="9"/>
      <c r="M47" s="16"/>
    </row>
    <row r="48" spans="1:13" ht="13.5" x14ac:dyDescent="0.25">
      <c r="A48" s="209"/>
      <c r="B48" s="210"/>
      <c r="C48" s="210"/>
      <c r="D48" s="210"/>
      <c r="E48" s="210"/>
      <c r="F48" s="210"/>
      <c r="G48" s="210"/>
      <c r="H48" s="210"/>
      <c r="I48" s="210"/>
      <c r="J48" s="211"/>
      <c r="K48" s="9"/>
      <c r="L48" s="9"/>
      <c r="M48" s="16"/>
    </row>
    <row r="49" spans="1:13" ht="13.5" x14ac:dyDescent="0.25">
      <c r="A49" s="212"/>
      <c r="B49" s="210"/>
      <c r="C49" s="210"/>
      <c r="D49" s="210"/>
      <c r="E49" s="210"/>
      <c r="F49" s="210"/>
      <c r="G49" s="210"/>
      <c r="H49" s="210"/>
      <c r="I49" s="210"/>
      <c r="J49" s="211"/>
      <c r="K49" s="9"/>
      <c r="L49" s="9"/>
      <c r="M49" s="16"/>
    </row>
    <row r="50" spans="1:13" ht="13.5" x14ac:dyDescent="0.25">
      <c r="A50" s="212"/>
      <c r="B50" s="210"/>
      <c r="C50" s="210"/>
      <c r="D50" s="210"/>
      <c r="E50" s="210"/>
      <c r="F50" s="210"/>
      <c r="G50" s="210"/>
      <c r="H50" s="210"/>
      <c r="I50" s="210"/>
      <c r="J50" s="211"/>
      <c r="K50" s="9"/>
      <c r="L50" s="9"/>
      <c r="M50" s="16"/>
    </row>
    <row r="51" spans="1:13" ht="13.5" thickBot="1" x14ac:dyDescent="0.25">
      <c r="A51" s="213"/>
      <c r="B51" s="214"/>
      <c r="C51" s="214"/>
      <c r="D51" s="214"/>
      <c r="E51" s="214"/>
      <c r="F51" s="214"/>
      <c r="G51" s="214"/>
      <c r="H51" s="214"/>
      <c r="I51" s="214"/>
      <c r="J51" s="215"/>
    </row>
    <row r="54" spans="1:13" x14ac:dyDescent="0.2">
      <c r="A54" s="203"/>
      <c r="B54" s="227" t="s">
        <v>31</v>
      </c>
      <c r="C54" s="227"/>
      <c r="D54" s="227"/>
      <c r="E54" s="227"/>
      <c r="F54" s="227"/>
      <c r="G54" s="227" t="s">
        <v>72</v>
      </c>
      <c r="H54" s="227"/>
      <c r="I54" s="227"/>
      <c r="J54" s="203" t="s">
        <v>73</v>
      </c>
    </row>
    <row r="55" spans="1:13" ht="25.5" x14ac:dyDescent="0.2">
      <c r="A55" s="203"/>
      <c r="B55" s="205" t="s">
        <v>66</v>
      </c>
      <c r="C55" s="205" t="s">
        <v>67</v>
      </c>
      <c r="D55" s="203" t="s">
        <v>16</v>
      </c>
      <c r="E55" s="205" t="s">
        <v>69</v>
      </c>
      <c r="F55" s="205" t="s">
        <v>68</v>
      </c>
      <c r="G55" s="205" t="s">
        <v>12</v>
      </c>
      <c r="H55" s="203" t="s">
        <v>16</v>
      </c>
      <c r="I55" s="205" t="s">
        <v>71</v>
      </c>
      <c r="J55" s="205" t="s">
        <v>70</v>
      </c>
    </row>
    <row r="56" spans="1:13" ht="25.5" x14ac:dyDescent="0.2">
      <c r="A56" s="205" t="s">
        <v>64</v>
      </c>
      <c r="B56" s="35">
        <f>MAXA(B12:B42)</f>
        <v>104</v>
      </c>
      <c r="C56" s="40">
        <f>AVERAGEA(B12:B42)</f>
        <v>96.032258064516128</v>
      </c>
      <c r="D56" s="40">
        <f>(B45+C45)/2</f>
        <v>86.225806451612897</v>
      </c>
      <c r="E56" s="40">
        <f>AVERAGEA(C12:C42)</f>
        <v>76.41935483870968</v>
      </c>
      <c r="F56" s="35">
        <f>MINA(C12:C42)</f>
        <v>66</v>
      </c>
      <c r="G56" s="61">
        <f>SUM(G12:G42)</f>
        <v>0.66</v>
      </c>
      <c r="H56" s="61">
        <f>AVERAGEA(G12:G42)</f>
        <v>2.1290322580645161E-2</v>
      </c>
      <c r="I56" s="61">
        <f>MAXA(G12:G42)</f>
        <v>0.17</v>
      </c>
      <c r="J56" s="206">
        <f>MAXA(I12:I42)</f>
        <v>30</v>
      </c>
    </row>
    <row r="57" spans="1:13" x14ac:dyDescent="0.2">
      <c r="A57" s="203" t="s">
        <v>65</v>
      </c>
      <c r="B57" s="204">
        <v>108</v>
      </c>
      <c r="C57" s="204">
        <v>97</v>
      </c>
      <c r="D57" s="204">
        <v>85</v>
      </c>
      <c r="E57" s="204">
        <v>75</v>
      </c>
      <c r="F57" s="204">
        <v>61</v>
      </c>
      <c r="G57" s="204">
        <v>12.3</v>
      </c>
      <c r="H57" s="204">
        <v>1.9</v>
      </c>
      <c r="I57" s="204">
        <v>6.8</v>
      </c>
      <c r="J57" s="204">
        <v>65</v>
      </c>
    </row>
  </sheetData>
  <mergeCells count="2">
    <mergeCell ref="B54:F54"/>
    <mergeCell ref="G54:I54"/>
  </mergeCells>
  <phoneticPr fontId="0" type="noConversion"/>
  <conditionalFormatting sqref="B56">
    <cfRule type="cellIs" dxfId="54" priority="1" stopIfTrue="1" operator="greaterThan">
      <formula>$B$54</formula>
    </cfRule>
  </conditionalFormatting>
  <conditionalFormatting sqref="G56">
    <cfRule type="cellIs" dxfId="53" priority="2" stopIfTrue="1" operator="greaterThan">
      <formula>$G$54</formula>
    </cfRule>
  </conditionalFormatting>
  <conditionalFormatting sqref="I56">
    <cfRule type="cellIs" dxfId="52" priority="3" stopIfTrue="1" operator="greaterThan">
      <formula>$I$54</formula>
    </cfRule>
  </conditionalFormatting>
  <conditionalFormatting sqref="J56">
    <cfRule type="cellIs" dxfId="51" priority="4" stopIfTrue="1" operator="greaterThan">
      <formula>$J$54</formula>
    </cfRule>
  </conditionalFormatting>
  <conditionalFormatting sqref="C56">
    <cfRule type="cellIs" dxfId="50" priority="5" stopIfTrue="1" operator="greaterThan">
      <formula>$C$57</formula>
    </cfRule>
  </conditionalFormatting>
  <conditionalFormatting sqref="D56">
    <cfRule type="cellIs" dxfId="49" priority="6" stopIfTrue="1" operator="lessThanOrEqual">
      <formula>$D$54</formula>
    </cfRule>
    <cfRule type="cellIs" dxfId="48" priority="7" stopIfTrue="1" operator="greaterThan">
      <formula>$D$57</formula>
    </cfRule>
  </conditionalFormatting>
  <conditionalFormatting sqref="E56">
    <cfRule type="cellIs" dxfId="47" priority="8" stopIfTrue="1" operator="lessThan">
      <formula>$E$57</formula>
    </cfRule>
  </conditionalFormatting>
  <conditionalFormatting sqref="F56">
    <cfRule type="cellIs" dxfId="46" priority="9" stopIfTrue="1" operator="lessThan">
      <formula>$F$57</formula>
    </cfRule>
  </conditionalFormatting>
  <pageMargins left="1.1000000000000001" right="0.61" top="1.25" bottom="1" header="0.5" footer="0.46"/>
  <pageSetup scale="92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BB48-9D5F-46FE-BCF5-44118EBEAC19}">
  <sheetPr codeName="Sheet8">
    <pageSetUpPr fitToPage="1"/>
  </sheetPr>
  <dimension ref="A1:M56"/>
  <sheetViews>
    <sheetView topLeftCell="A11" zoomScaleNormal="100" workbookViewId="0">
      <selection activeCell="R18" sqref="R18"/>
    </sheetView>
  </sheetViews>
  <sheetFormatPr defaultRowHeight="12.75" x14ac:dyDescent="0.2"/>
  <sheetData>
    <row r="1" spans="1:13" ht="13.5" thickBot="1" x14ac:dyDescent="0.25">
      <c r="A1" s="1"/>
      <c r="B1" s="2"/>
      <c r="C1" s="2"/>
      <c r="D1" s="2"/>
      <c r="E1" s="2"/>
      <c r="F1" s="2"/>
      <c r="G1" s="2"/>
      <c r="H1" s="2"/>
      <c r="I1" s="2"/>
      <c r="J1" s="3"/>
    </row>
    <row r="2" spans="1:13" ht="15.75" x14ac:dyDescent="0.25">
      <c r="A2" s="75" t="s">
        <v>79</v>
      </c>
      <c r="B2" s="65"/>
      <c r="C2" s="76"/>
      <c r="D2" s="77"/>
      <c r="E2" s="77"/>
      <c r="F2" s="77"/>
      <c r="G2" s="77"/>
      <c r="H2" s="77"/>
      <c r="I2" s="77"/>
      <c r="J2" s="78"/>
      <c r="K2" s="4"/>
      <c r="L2" s="4"/>
      <c r="M2" s="4"/>
    </row>
    <row r="3" spans="1:13" ht="15.75" x14ac:dyDescent="0.25">
      <c r="A3" s="67" t="s">
        <v>0</v>
      </c>
      <c r="B3" s="63"/>
      <c r="C3" s="68"/>
      <c r="D3" s="69"/>
      <c r="E3" s="69"/>
      <c r="F3" s="69"/>
      <c r="G3" s="69"/>
      <c r="H3" s="69"/>
      <c r="I3" s="63"/>
      <c r="J3" s="70"/>
      <c r="K3" s="4"/>
      <c r="L3" s="4"/>
      <c r="M3" s="4"/>
    </row>
    <row r="4" spans="1:13" ht="15.75" x14ac:dyDescent="0.25">
      <c r="A4" s="71" t="s">
        <v>1</v>
      </c>
      <c r="B4" s="63"/>
      <c r="C4" s="68"/>
      <c r="D4" s="69"/>
      <c r="E4" s="69"/>
      <c r="F4" s="72"/>
      <c r="G4" s="69"/>
      <c r="H4" s="69"/>
      <c r="I4" s="63"/>
      <c r="J4" s="70"/>
      <c r="K4" s="4"/>
      <c r="L4" s="4"/>
      <c r="M4" s="4"/>
    </row>
    <row r="5" spans="1:13" ht="15.75" x14ac:dyDescent="0.25">
      <c r="A5" s="73" t="s">
        <v>88</v>
      </c>
      <c r="B5" s="69"/>
      <c r="C5" s="74"/>
      <c r="D5" s="69"/>
      <c r="E5" s="69"/>
      <c r="F5" s="69"/>
      <c r="G5" s="69"/>
      <c r="H5" s="69"/>
      <c r="I5" s="69"/>
      <c r="J5" s="70"/>
      <c r="K5" s="4"/>
      <c r="L5" s="4"/>
      <c r="M5" s="4"/>
    </row>
    <row r="6" spans="1:13" ht="16.5" thickBot="1" x14ac:dyDescent="0.3">
      <c r="A6" s="79"/>
      <c r="B6" s="80"/>
      <c r="C6" s="80"/>
      <c r="D6" s="80"/>
      <c r="E6" s="80"/>
      <c r="F6" s="80"/>
      <c r="G6" s="80"/>
      <c r="H6" s="80"/>
      <c r="I6" s="80"/>
      <c r="J6" s="81"/>
      <c r="K6" s="58"/>
      <c r="L6" s="58"/>
      <c r="M6" s="4"/>
    </row>
    <row r="7" spans="1:13" ht="13.5" x14ac:dyDescent="0.25">
      <c r="A7" s="82"/>
      <c r="B7" s="83" t="s">
        <v>2</v>
      </c>
      <c r="C7" s="84"/>
      <c r="D7" s="84"/>
      <c r="E7" s="84"/>
      <c r="F7" s="84"/>
      <c r="G7" s="85" t="s">
        <v>3</v>
      </c>
      <c r="H7" s="84"/>
      <c r="I7" s="83" t="s">
        <v>4</v>
      </c>
      <c r="J7" s="86"/>
      <c r="K7" s="9"/>
      <c r="L7" s="9"/>
      <c r="M7" s="9"/>
    </row>
    <row r="8" spans="1:13" ht="13.5" x14ac:dyDescent="0.25">
      <c r="A8" s="82"/>
      <c r="B8" s="84"/>
      <c r="C8" s="84"/>
      <c r="D8" s="85" t="s">
        <v>5</v>
      </c>
      <c r="E8" s="84"/>
      <c r="F8" s="84"/>
      <c r="G8" s="87" t="s">
        <v>6</v>
      </c>
      <c r="H8" s="87" t="s">
        <v>7</v>
      </c>
      <c r="I8" s="88"/>
      <c r="J8" s="89"/>
      <c r="K8" s="9"/>
      <c r="L8" s="9"/>
      <c r="M8" s="9"/>
    </row>
    <row r="9" spans="1:13" ht="13.5" x14ac:dyDescent="0.25">
      <c r="A9" s="82"/>
      <c r="B9" s="85" t="s">
        <v>8</v>
      </c>
      <c r="C9" s="84"/>
      <c r="D9" s="85" t="s">
        <v>9</v>
      </c>
      <c r="E9" s="84"/>
      <c r="F9" s="84"/>
      <c r="G9" s="87" t="s">
        <v>10</v>
      </c>
      <c r="H9" s="87" t="s">
        <v>11</v>
      </c>
      <c r="I9" s="87" t="s">
        <v>12</v>
      </c>
      <c r="J9" s="90" t="s">
        <v>13</v>
      </c>
      <c r="K9" s="9"/>
      <c r="L9" s="9"/>
      <c r="M9" s="9"/>
    </row>
    <row r="10" spans="1:13" ht="13.5" x14ac:dyDescent="0.25">
      <c r="A10" s="91" t="s">
        <v>14</v>
      </c>
      <c r="B10" s="83" t="s">
        <v>12</v>
      </c>
      <c r="C10" s="83" t="s">
        <v>15</v>
      </c>
      <c r="D10" s="83" t="s">
        <v>16</v>
      </c>
      <c r="E10" s="83" t="s">
        <v>17</v>
      </c>
      <c r="F10" s="83" t="s">
        <v>18</v>
      </c>
      <c r="G10" s="83" t="s">
        <v>19</v>
      </c>
      <c r="H10" s="83" t="s">
        <v>20</v>
      </c>
      <c r="I10" s="83" t="s">
        <v>21</v>
      </c>
      <c r="J10" s="92" t="s">
        <v>22</v>
      </c>
      <c r="K10" s="10" t="s">
        <v>23</v>
      </c>
      <c r="L10" s="9"/>
      <c r="M10" s="9"/>
    </row>
    <row r="11" spans="1:13" ht="14.25" thickBot="1" x14ac:dyDescent="0.3">
      <c r="A11" s="30"/>
      <c r="B11" s="31"/>
      <c r="C11" s="31"/>
      <c r="D11" s="31"/>
      <c r="E11" s="31"/>
      <c r="F11" s="31"/>
      <c r="G11" s="31"/>
      <c r="H11" s="31"/>
      <c r="I11" s="31"/>
      <c r="J11" s="144"/>
      <c r="K11" s="60"/>
      <c r="L11" s="59"/>
      <c r="M11" s="9"/>
    </row>
    <row r="12" spans="1:13" ht="13.5" x14ac:dyDescent="0.25">
      <c r="A12" s="39">
        <v>1</v>
      </c>
      <c r="B12" s="35">
        <v>103</v>
      </c>
      <c r="C12" s="35">
        <v>77</v>
      </c>
      <c r="D12" s="40">
        <f t="shared" ref="D12:D42" si="0">(B12+C12)/2</f>
        <v>90</v>
      </c>
      <c r="E12" s="40">
        <f t="shared" ref="E12:E42" si="1">IF(65-D12&gt;0,65-M12,0)</f>
        <v>0</v>
      </c>
      <c r="F12" s="40">
        <f t="shared" ref="F12:F42" si="2">IF((D12)-65&lt;0,0,(D12)-65)</f>
        <v>25</v>
      </c>
      <c r="G12" s="146">
        <v>0</v>
      </c>
      <c r="H12" s="41">
        <v>0</v>
      </c>
      <c r="I12" s="35">
        <v>17</v>
      </c>
      <c r="J12" s="147">
        <v>120</v>
      </c>
      <c r="K12" s="9"/>
      <c r="L12" s="9"/>
      <c r="M12" s="15">
        <f t="shared" ref="M12:M42" si="3">IF(D12=0,65,D12)</f>
        <v>90</v>
      </c>
    </row>
    <row r="13" spans="1:13" ht="13.5" x14ac:dyDescent="0.25">
      <c r="A13" s="39">
        <v>2</v>
      </c>
      <c r="B13" s="35">
        <v>105</v>
      </c>
      <c r="C13" s="35">
        <v>77</v>
      </c>
      <c r="D13" s="40">
        <f t="shared" si="0"/>
        <v>91</v>
      </c>
      <c r="E13" s="40">
        <f t="shared" si="1"/>
        <v>0</v>
      </c>
      <c r="F13" s="40">
        <f t="shared" si="2"/>
        <v>26</v>
      </c>
      <c r="G13" s="61">
        <v>0.28999999999999998</v>
      </c>
      <c r="H13" s="41">
        <v>0</v>
      </c>
      <c r="I13" s="35">
        <v>37</v>
      </c>
      <c r="J13" s="147">
        <v>320</v>
      </c>
      <c r="K13" s="9"/>
      <c r="L13" s="9"/>
      <c r="M13" s="15">
        <f t="shared" si="3"/>
        <v>91</v>
      </c>
    </row>
    <row r="14" spans="1:13" ht="13.5" x14ac:dyDescent="0.25">
      <c r="A14" s="39">
        <v>3</v>
      </c>
      <c r="B14" s="35">
        <v>101</v>
      </c>
      <c r="C14" s="35">
        <v>74</v>
      </c>
      <c r="D14" s="40">
        <f t="shared" si="0"/>
        <v>87.5</v>
      </c>
      <c r="E14" s="40">
        <f t="shared" si="1"/>
        <v>0</v>
      </c>
      <c r="F14" s="40">
        <f t="shared" si="2"/>
        <v>22.5</v>
      </c>
      <c r="G14" s="61">
        <v>0</v>
      </c>
      <c r="H14" s="41">
        <v>0</v>
      </c>
      <c r="I14" s="35">
        <v>19</v>
      </c>
      <c r="J14" s="147">
        <v>140</v>
      </c>
      <c r="K14" s="9"/>
      <c r="L14" s="9"/>
      <c r="M14" s="15">
        <f t="shared" si="3"/>
        <v>87.5</v>
      </c>
    </row>
    <row r="15" spans="1:13" ht="13.5" x14ac:dyDescent="0.25">
      <c r="A15" s="39">
        <v>4</v>
      </c>
      <c r="B15" s="35">
        <v>95</v>
      </c>
      <c r="C15" s="35">
        <v>78</v>
      </c>
      <c r="D15" s="40">
        <f t="shared" si="0"/>
        <v>86.5</v>
      </c>
      <c r="E15" s="40">
        <f t="shared" si="1"/>
        <v>0</v>
      </c>
      <c r="F15" s="40">
        <f t="shared" si="2"/>
        <v>21.5</v>
      </c>
      <c r="G15" s="61">
        <v>0</v>
      </c>
      <c r="H15" s="41">
        <v>0</v>
      </c>
      <c r="I15" s="35">
        <v>22</v>
      </c>
      <c r="J15" s="147">
        <v>90</v>
      </c>
      <c r="K15" s="9"/>
      <c r="L15" s="9"/>
      <c r="M15" s="15">
        <f t="shared" si="3"/>
        <v>86.5</v>
      </c>
    </row>
    <row r="16" spans="1:13" ht="13.5" x14ac:dyDescent="0.25">
      <c r="A16" s="39">
        <v>5</v>
      </c>
      <c r="B16" s="35">
        <v>100</v>
      </c>
      <c r="C16" s="35">
        <v>72</v>
      </c>
      <c r="D16" s="40">
        <f t="shared" si="0"/>
        <v>86</v>
      </c>
      <c r="E16" s="40">
        <f t="shared" si="1"/>
        <v>0</v>
      </c>
      <c r="F16" s="40">
        <f t="shared" si="2"/>
        <v>21</v>
      </c>
      <c r="G16" s="61">
        <v>0</v>
      </c>
      <c r="H16" s="41">
        <v>0</v>
      </c>
      <c r="I16" s="35">
        <v>16</v>
      </c>
      <c r="J16" s="147">
        <v>70</v>
      </c>
      <c r="K16" s="9"/>
      <c r="L16" s="9"/>
      <c r="M16" s="15">
        <f t="shared" si="3"/>
        <v>86</v>
      </c>
    </row>
    <row r="17" spans="1:13" ht="13.5" x14ac:dyDescent="0.25">
      <c r="A17" s="39">
        <v>6</v>
      </c>
      <c r="B17" s="35">
        <v>101</v>
      </c>
      <c r="C17" s="35">
        <v>78</v>
      </c>
      <c r="D17" s="40">
        <f t="shared" si="0"/>
        <v>89.5</v>
      </c>
      <c r="E17" s="40">
        <f t="shared" si="1"/>
        <v>0</v>
      </c>
      <c r="F17" s="40">
        <f t="shared" si="2"/>
        <v>24.5</v>
      </c>
      <c r="G17" s="61">
        <v>0</v>
      </c>
      <c r="H17" s="41">
        <v>0</v>
      </c>
      <c r="I17" s="35">
        <v>24</v>
      </c>
      <c r="J17" s="147">
        <v>120</v>
      </c>
      <c r="K17" s="9"/>
      <c r="L17" s="9"/>
      <c r="M17" s="15">
        <f t="shared" si="3"/>
        <v>89.5</v>
      </c>
    </row>
    <row r="18" spans="1:13" ht="13.5" x14ac:dyDescent="0.25">
      <c r="A18" s="39">
        <v>7</v>
      </c>
      <c r="B18" s="38">
        <v>100</v>
      </c>
      <c r="C18" s="38">
        <v>79</v>
      </c>
      <c r="D18" s="40">
        <f t="shared" si="0"/>
        <v>89.5</v>
      </c>
      <c r="E18" s="40">
        <f t="shared" si="1"/>
        <v>0</v>
      </c>
      <c r="F18" s="40">
        <f t="shared" si="2"/>
        <v>24.5</v>
      </c>
      <c r="G18" s="61">
        <v>0</v>
      </c>
      <c r="H18" s="41">
        <v>0</v>
      </c>
      <c r="I18" s="38">
        <v>19</v>
      </c>
      <c r="J18" s="148">
        <v>150</v>
      </c>
      <c r="K18" s="9"/>
      <c r="L18" s="9"/>
      <c r="M18" s="15">
        <f t="shared" si="3"/>
        <v>89.5</v>
      </c>
    </row>
    <row r="19" spans="1:13" ht="13.5" x14ac:dyDescent="0.25">
      <c r="A19" s="39">
        <v>8</v>
      </c>
      <c r="B19" s="38">
        <v>102</v>
      </c>
      <c r="C19" s="38">
        <v>76</v>
      </c>
      <c r="D19" s="40">
        <f t="shared" si="0"/>
        <v>89</v>
      </c>
      <c r="E19" s="40">
        <f t="shared" si="1"/>
        <v>0</v>
      </c>
      <c r="F19" s="40">
        <f t="shared" si="2"/>
        <v>24</v>
      </c>
      <c r="G19" s="61">
        <v>0</v>
      </c>
      <c r="H19" s="41">
        <v>0</v>
      </c>
      <c r="I19" s="38">
        <v>20</v>
      </c>
      <c r="J19" s="148">
        <v>140</v>
      </c>
      <c r="K19" s="9"/>
      <c r="L19" s="9"/>
      <c r="M19" s="15">
        <f t="shared" si="3"/>
        <v>89</v>
      </c>
    </row>
    <row r="20" spans="1:13" ht="13.5" x14ac:dyDescent="0.25">
      <c r="A20" s="39">
        <v>9</v>
      </c>
      <c r="B20" s="38">
        <v>102</v>
      </c>
      <c r="C20" s="38">
        <v>77</v>
      </c>
      <c r="D20" s="40">
        <f t="shared" si="0"/>
        <v>89.5</v>
      </c>
      <c r="E20" s="40">
        <f t="shared" si="1"/>
        <v>0</v>
      </c>
      <c r="F20" s="40">
        <f t="shared" si="2"/>
        <v>24.5</v>
      </c>
      <c r="G20" s="61">
        <v>0</v>
      </c>
      <c r="H20" s="41">
        <v>0</v>
      </c>
      <c r="I20" s="38">
        <v>20</v>
      </c>
      <c r="J20" s="148">
        <v>130</v>
      </c>
      <c r="K20" s="9"/>
      <c r="L20" s="9"/>
      <c r="M20" s="15">
        <f t="shared" si="3"/>
        <v>89.5</v>
      </c>
    </row>
    <row r="21" spans="1:13" ht="13.5" x14ac:dyDescent="0.25">
      <c r="A21" s="39">
        <v>10</v>
      </c>
      <c r="B21" s="38">
        <v>101</v>
      </c>
      <c r="C21" s="38">
        <v>77</v>
      </c>
      <c r="D21" s="40">
        <f t="shared" si="0"/>
        <v>89</v>
      </c>
      <c r="E21" s="40">
        <f t="shared" si="1"/>
        <v>0</v>
      </c>
      <c r="F21" s="40">
        <f t="shared" si="2"/>
        <v>24</v>
      </c>
      <c r="G21" s="61">
        <v>0</v>
      </c>
      <c r="H21" s="41">
        <v>0</v>
      </c>
      <c r="I21" s="38">
        <v>23</v>
      </c>
      <c r="J21" s="148">
        <v>130</v>
      </c>
      <c r="K21" s="9"/>
      <c r="L21" s="9"/>
      <c r="M21" s="15">
        <f t="shared" si="3"/>
        <v>89</v>
      </c>
    </row>
    <row r="22" spans="1:13" ht="13.5" x14ac:dyDescent="0.25">
      <c r="A22" s="39">
        <v>11</v>
      </c>
      <c r="B22" s="38">
        <v>101</v>
      </c>
      <c r="C22" s="38">
        <v>78</v>
      </c>
      <c r="D22" s="40">
        <f t="shared" si="0"/>
        <v>89.5</v>
      </c>
      <c r="E22" s="40">
        <f t="shared" si="1"/>
        <v>0</v>
      </c>
      <c r="F22" s="40">
        <f t="shared" si="2"/>
        <v>24.5</v>
      </c>
      <c r="G22" s="61">
        <v>0</v>
      </c>
      <c r="H22" s="41">
        <v>0</v>
      </c>
      <c r="I22" s="38">
        <v>22</v>
      </c>
      <c r="J22" s="148">
        <v>130</v>
      </c>
      <c r="K22" s="9"/>
      <c r="L22" s="9"/>
      <c r="M22" s="15">
        <f t="shared" si="3"/>
        <v>89.5</v>
      </c>
    </row>
    <row r="23" spans="1:13" ht="13.5" x14ac:dyDescent="0.25">
      <c r="A23" s="39">
        <v>12</v>
      </c>
      <c r="B23" s="38">
        <v>102</v>
      </c>
      <c r="C23" s="38">
        <v>77</v>
      </c>
      <c r="D23" s="40">
        <f t="shared" si="0"/>
        <v>89.5</v>
      </c>
      <c r="E23" s="40">
        <f t="shared" si="1"/>
        <v>0</v>
      </c>
      <c r="F23" s="40">
        <f t="shared" si="2"/>
        <v>24.5</v>
      </c>
      <c r="G23" s="61">
        <v>0</v>
      </c>
      <c r="H23" s="41">
        <v>0</v>
      </c>
      <c r="I23" s="38">
        <v>19</v>
      </c>
      <c r="J23" s="149">
        <v>30</v>
      </c>
      <c r="K23" s="9"/>
      <c r="L23" s="9"/>
      <c r="M23" s="15">
        <f t="shared" si="3"/>
        <v>89.5</v>
      </c>
    </row>
    <row r="24" spans="1:13" ht="13.5" x14ac:dyDescent="0.25">
      <c r="A24" s="39">
        <v>13</v>
      </c>
      <c r="B24" s="38">
        <v>103</v>
      </c>
      <c r="C24" s="38">
        <v>80</v>
      </c>
      <c r="D24" s="40">
        <f t="shared" si="0"/>
        <v>91.5</v>
      </c>
      <c r="E24" s="40">
        <f t="shared" si="1"/>
        <v>0</v>
      </c>
      <c r="F24" s="40">
        <f t="shared" si="2"/>
        <v>26.5</v>
      </c>
      <c r="G24" s="61">
        <v>0</v>
      </c>
      <c r="H24" s="41">
        <v>0</v>
      </c>
      <c r="I24" s="38">
        <v>24</v>
      </c>
      <c r="J24" s="148">
        <v>50</v>
      </c>
      <c r="K24" s="9"/>
      <c r="L24" s="9"/>
      <c r="M24" s="15">
        <f t="shared" si="3"/>
        <v>91.5</v>
      </c>
    </row>
    <row r="25" spans="1:13" ht="13.5" x14ac:dyDescent="0.25">
      <c r="A25" s="39">
        <v>14</v>
      </c>
      <c r="B25" s="38">
        <v>104</v>
      </c>
      <c r="C25" s="38">
        <v>80</v>
      </c>
      <c r="D25" s="40">
        <f t="shared" si="0"/>
        <v>92</v>
      </c>
      <c r="E25" s="40">
        <f t="shared" si="1"/>
        <v>0</v>
      </c>
      <c r="F25" s="40">
        <f t="shared" si="2"/>
        <v>27</v>
      </c>
      <c r="G25" s="61">
        <v>0</v>
      </c>
      <c r="H25" s="41">
        <v>0</v>
      </c>
      <c r="I25" s="38">
        <v>25</v>
      </c>
      <c r="J25" s="149">
        <v>160</v>
      </c>
      <c r="K25" s="9"/>
      <c r="L25" s="9"/>
      <c r="M25" s="15">
        <f t="shared" si="3"/>
        <v>92</v>
      </c>
    </row>
    <row r="26" spans="1:13" ht="13.5" x14ac:dyDescent="0.25">
      <c r="A26" s="39">
        <v>15</v>
      </c>
      <c r="B26" s="38">
        <v>99</v>
      </c>
      <c r="C26" s="38">
        <v>79</v>
      </c>
      <c r="D26" s="40">
        <f t="shared" si="0"/>
        <v>89</v>
      </c>
      <c r="E26" s="40">
        <f t="shared" si="1"/>
        <v>0</v>
      </c>
      <c r="F26" s="40">
        <f t="shared" si="2"/>
        <v>24</v>
      </c>
      <c r="G26" s="61">
        <v>0</v>
      </c>
      <c r="H26" s="41">
        <v>0</v>
      </c>
      <c r="I26" s="38">
        <v>22</v>
      </c>
      <c r="J26" s="148">
        <v>120</v>
      </c>
      <c r="K26" s="9"/>
      <c r="L26" s="9"/>
      <c r="M26" s="15">
        <f t="shared" si="3"/>
        <v>89</v>
      </c>
    </row>
    <row r="27" spans="1:13" ht="13.5" x14ac:dyDescent="0.25">
      <c r="A27" s="39">
        <v>16</v>
      </c>
      <c r="B27" s="38">
        <v>99</v>
      </c>
      <c r="C27" s="38">
        <v>76</v>
      </c>
      <c r="D27" s="40">
        <f t="shared" si="0"/>
        <v>87.5</v>
      </c>
      <c r="E27" s="40">
        <f t="shared" si="1"/>
        <v>0</v>
      </c>
      <c r="F27" s="40">
        <f t="shared" si="2"/>
        <v>22.5</v>
      </c>
      <c r="G27" s="61">
        <v>0.22</v>
      </c>
      <c r="H27" s="41">
        <v>0</v>
      </c>
      <c r="I27" s="38">
        <v>25</v>
      </c>
      <c r="J27" s="148">
        <v>140</v>
      </c>
      <c r="K27" s="9"/>
      <c r="L27" s="9"/>
      <c r="M27" s="15">
        <f t="shared" si="3"/>
        <v>87.5</v>
      </c>
    </row>
    <row r="28" spans="1:13" ht="13.5" x14ac:dyDescent="0.25">
      <c r="A28" s="39">
        <v>17</v>
      </c>
      <c r="B28" s="38">
        <v>102</v>
      </c>
      <c r="C28" s="38">
        <v>78</v>
      </c>
      <c r="D28" s="40">
        <f t="shared" si="0"/>
        <v>90</v>
      </c>
      <c r="E28" s="40">
        <f t="shared" si="1"/>
        <v>0</v>
      </c>
      <c r="F28" s="40">
        <f t="shared" si="2"/>
        <v>25</v>
      </c>
      <c r="G28" s="61">
        <v>0</v>
      </c>
      <c r="H28" s="41">
        <v>0</v>
      </c>
      <c r="I28" s="38">
        <v>26</v>
      </c>
      <c r="J28" s="148">
        <v>140</v>
      </c>
      <c r="K28" s="9"/>
      <c r="L28" s="9"/>
      <c r="M28" s="15">
        <f t="shared" si="3"/>
        <v>90</v>
      </c>
    </row>
    <row r="29" spans="1:13" ht="13.5" x14ac:dyDescent="0.25">
      <c r="A29" s="39">
        <v>18</v>
      </c>
      <c r="B29" s="38">
        <v>103</v>
      </c>
      <c r="C29" s="38">
        <v>76</v>
      </c>
      <c r="D29" s="40">
        <f t="shared" si="0"/>
        <v>89.5</v>
      </c>
      <c r="E29" s="40">
        <f t="shared" si="1"/>
        <v>0</v>
      </c>
      <c r="F29" s="40">
        <f t="shared" si="2"/>
        <v>24.5</v>
      </c>
      <c r="G29" s="61">
        <v>0</v>
      </c>
      <c r="H29" s="41">
        <v>0</v>
      </c>
      <c r="I29" s="38">
        <v>21</v>
      </c>
      <c r="J29" s="148">
        <v>160</v>
      </c>
      <c r="K29" s="9"/>
      <c r="L29" s="9"/>
      <c r="M29" s="15">
        <f t="shared" si="3"/>
        <v>89.5</v>
      </c>
    </row>
    <row r="30" spans="1:13" ht="13.5" x14ac:dyDescent="0.25">
      <c r="A30" s="39">
        <v>19</v>
      </c>
      <c r="B30" s="38">
        <v>99</v>
      </c>
      <c r="C30" s="38">
        <v>74</v>
      </c>
      <c r="D30" s="40">
        <f t="shared" si="0"/>
        <v>86.5</v>
      </c>
      <c r="E30" s="40">
        <f t="shared" si="1"/>
        <v>0</v>
      </c>
      <c r="F30" s="40">
        <f t="shared" si="2"/>
        <v>21.5</v>
      </c>
      <c r="G30" s="61">
        <v>0.34</v>
      </c>
      <c r="H30" s="41">
        <v>0</v>
      </c>
      <c r="I30" s="38">
        <v>35</v>
      </c>
      <c r="J30" s="148">
        <v>340</v>
      </c>
      <c r="K30" s="9"/>
      <c r="L30" s="9"/>
      <c r="M30" s="15">
        <f t="shared" si="3"/>
        <v>86.5</v>
      </c>
    </row>
    <row r="31" spans="1:13" ht="13.5" x14ac:dyDescent="0.25">
      <c r="A31" s="39">
        <v>20</v>
      </c>
      <c r="B31" s="38">
        <v>100</v>
      </c>
      <c r="C31" s="38">
        <v>74</v>
      </c>
      <c r="D31" s="40">
        <f t="shared" si="0"/>
        <v>87</v>
      </c>
      <c r="E31" s="40">
        <f t="shared" si="1"/>
        <v>0</v>
      </c>
      <c r="F31" s="40">
        <f t="shared" si="2"/>
        <v>22</v>
      </c>
      <c r="G31" s="61">
        <v>0</v>
      </c>
      <c r="H31" s="41">
        <v>0</v>
      </c>
      <c r="I31" s="38">
        <v>23</v>
      </c>
      <c r="J31" s="148">
        <v>60</v>
      </c>
      <c r="K31" s="9"/>
      <c r="L31" s="9"/>
      <c r="M31" s="15">
        <f t="shared" si="3"/>
        <v>87</v>
      </c>
    </row>
    <row r="32" spans="1:13" ht="13.5" x14ac:dyDescent="0.25">
      <c r="A32" s="39">
        <v>21</v>
      </c>
      <c r="B32" s="38">
        <v>95</v>
      </c>
      <c r="C32" s="38">
        <v>76</v>
      </c>
      <c r="D32" s="40">
        <f t="shared" si="0"/>
        <v>85.5</v>
      </c>
      <c r="E32" s="40">
        <f t="shared" si="1"/>
        <v>0</v>
      </c>
      <c r="F32" s="40">
        <f t="shared" si="2"/>
        <v>20.5</v>
      </c>
      <c r="G32" s="61">
        <v>0</v>
      </c>
      <c r="H32" s="41">
        <v>0</v>
      </c>
      <c r="I32" s="38">
        <v>26</v>
      </c>
      <c r="J32" s="148">
        <v>320</v>
      </c>
      <c r="K32" s="9"/>
      <c r="L32" s="9"/>
      <c r="M32" s="15">
        <f t="shared" si="3"/>
        <v>85.5</v>
      </c>
    </row>
    <row r="33" spans="1:13" ht="13.5" x14ac:dyDescent="0.25">
      <c r="A33" s="39">
        <v>22</v>
      </c>
      <c r="B33" s="38">
        <v>98</v>
      </c>
      <c r="C33" s="38">
        <v>73</v>
      </c>
      <c r="D33" s="40">
        <f t="shared" si="0"/>
        <v>85.5</v>
      </c>
      <c r="E33" s="40">
        <f t="shared" si="1"/>
        <v>0</v>
      </c>
      <c r="F33" s="40">
        <f t="shared" si="2"/>
        <v>20.5</v>
      </c>
      <c r="G33" s="61">
        <v>0</v>
      </c>
      <c r="H33" s="41">
        <v>0</v>
      </c>
      <c r="I33" s="38">
        <v>22</v>
      </c>
      <c r="J33" s="148">
        <v>70</v>
      </c>
      <c r="K33" s="9"/>
      <c r="L33" s="9"/>
      <c r="M33" s="15">
        <f t="shared" si="3"/>
        <v>85.5</v>
      </c>
    </row>
    <row r="34" spans="1:13" ht="13.5" x14ac:dyDescent="0.25">
      <c r="A34" s="39">
        <v>23</v>
      </c>
      <c r="B34" s="38">
        <v>97</v>
      </c>
      <c r="C34" s="38">
        <v>75</v>
      </c>
      <c r="D34" s="40">
        <f t="shared" si="0"/>
        <v>86</v>
      </c>
      <c r="E34" s="40">
        <f t="shared" si="1"/>
        <v>0</v>
      </c>
      <c r="F34" s="40">
        <f t="shared" si="2"/>
        <v>21</v>
      </c>
      <c r="G34" s="61">
        <v>0</v>
      </c>
      <c r="H34" s="41">
        <v>0</v>
      </c>
      <c r="I34" s="38">
        <v>18</v>
      </c>
      <c r="J34" s="148">
        <v>60</v>
      </c>
      <c r="K34" s="9"/>
      <c r="L34" s="9"/>
      <c r="M34" s="15">
        <f t="shared" si="3"/>
        <v>86</v>
      </c>
    </row>
    <row r="35" spans="1:13" ht="13.5" x14ac:dyDescent="0.25">
      <c r="A35" s="39">
        <v>24</v>
      </c>
      <c r="B35" s="38">
        <v>101</v>
      </c>
      <c r="C35" s="38">
        <v>75</v>
      </c>
      <c r="D35" s="40">
        <f t="shared" si="0"/>
        <v>88</v>
      </c>
      <c r="E35" s="40">
        <f t="shared" si="1"/>
        <v>0</v>
      </c>
      <c r="F35" s="40">
        <f t="shared" si="2"/>
        <v>23</v>
      </c>
      <c r="G35" s="61">
        <v>0</v>
      </c>
      <c r="H35" s="41">
        <v>0</v>
      </c>
      <c r="I35" s="38">
        <v>21</v>
      </c>
      <c r="J35" s="148">
        <v>150</v>
      </c>
      <c r="K35" s="9"/>
      <c r="L35" s="9"/>
      <c r="M35" s="15">
        <f t="shared" si="3"/>
        <v>88</v>
      </c>
    </row>
    <row r="36" spans="1:13" ht="13.5" x14ac:dyDescent="0.25">
      <c r="A36" s="39">
        <v>25</v>
      </c>
      <c r="B36" s="38">
        <v>100</v>
      </c>
      <c r="C36" s="38">
        <v>76</v>
      </c>
      <c r="D36" s="40">
        <f t="shared" si="0"/>
        <v>88</v>
      </c>
      <c r="E36" s="40">
        <f t="shared" si="1"/>
        <v>0</v>
      </c>
      <c r="F36" s="40">
        <f t="shared" si="2"/>
        <v>23</v>
      </c>
      <c r="G36" s="61">
        <v>0</v>
      </c>
      <c r="H36" s="41">
        <v>0</v>
      </c>
      <c r="I36" s="38">
        <v>20</v>
      </c>
      <c r="J36" s="148">
        <v>150</v>
      </c>
      <c r="K36" s="9"/>
      <c r="L36" s="9"/>
      <c r="M36" s="15">
        <f t="shared" si="3"/>
        <v>88</v>
      </c>
    </row>
    <row r="37" spans="1:13" ht="13.5" x14ac:dyDescent="0.25">
      <c r="A37" s="39">
        <v>26</v>
      </c>
      <c r="B37" s="38">
        <v>98</v>
      </c>
      <c r="C37" s="38">
        <v>77</v>
      </c>
      <c r="D37" s="40">
        <f t="shared" si="0"/>
        <v>87.5</v>
      </c>
      <c r="E37" s="40">
        <f t="shared" si="1"/>
        <v>0</v>
      </c>
      <c r="F37" s="40">
        <f t="shared" si="2"/>
        <v>22.5</v>
      </c>
      <c r="G37" s="61">
        <v>0</v>
      </c>
      <c r="H37" s="41">
        <v>0</v>
      </c>
      <c r="I37" s="38">
        <v>22</v>
      </c>
      <c r="J37" s="148">
        <v>140</v>
      </c>
      <c r="K37" s="9"/>
      <c r="L37" s="9"/>
      <c r="M37" s="15">
        <f t="shared" si="3"/>
        <v>87.5</v>
      </c>
    </row>
    <row r="38" spans="1:13" ht="13.5" x14ac:dyDescent="0.25">
      <c r="A38" s="39">
        <v>27</v>
      </c>
      <c r="B38" s="38">
        <v>100</v>
      </c>
      <c r="C38" s="38">
        <v>79</v>
      </c>
      <c r="D38" s="40">
        <f t="shared" si="0"/>
        <v>89.5</v>
      </c>
      <c r="E38" s="40">
        <f t="shared" si="1"/>
        <v>0</v>
      </c>
      <c r="F38" s="40">
        <f t="shared" si="2"/>
        <v>24.5</v>
      </c>
      <c r="G38" s="61">
        <v>0</v>
      </c>
      <c r="H38" s="41">
        <v>0</v>
      </c>
      <c r="I38" s="38">
        <v>18</v>
      </c>
      <c r="J38" s="149">
        <v>120</v>
      </c>
      <c r="K38" s="9"/>
      <c r="L38" s="9"/>
      <c r="M38" s="15">
        <f t="shared" si="3"/>
        <v>89.5</v>
      </c>
    </row>
    <row r="39" spans="1:13" ht="13.5" x14ac:dyDescent="0.25">
      <c r="A39" s="39">
        <v>28</v>
      </c>
      <c r="B39" s="38">
        <v>102</v>
      </c>
      <c r="C39" s="38">
        <v>78</v>
      </c>
      <c r="D39" s="40">
        <f t="shared" si="0"/>
        <v>90</v>
      </c>
      <c r="E39" s="40">
        <f t="shared" si="1"/>
        <v>0</v>
      </c>
      <c r="F39" s="40">
        <f t="shared" si="2"/>
        <v>25</v>
      </c>
      <c r="G39" s="61">
        <v>0</v>
      </c>
      <c r="H39" s="41">
        <v>0</v>
      </c>
      <c r="I39" s="38">
        <v>25</v>
      </c>
      <c r="J39" s="148">
        <v>140</v>
      </c>
      <c r="K39" s="9"/>
      <c r="L39" s="9"/>
      <c r="M39" s="15">
        <f t="shared" si="3"/>
        <v>90</v>
      </c>
    </row>
    <row r="40" spans="1:13" ht="13.5" x14ac:dyDescent="0.25">
      <c r="A40" s="39">
        <v>29</v>
      </c>
      <c r="B40" s="38">
        <v>103</v>
      </c>
      <c r="C40" s="38">
        <v>79</v>
      </c>
      <c r="D40" s="40">
        <f t="shared" si="0"/>
        <v>91</v>
      </c>
      <c r="E40" s="40">
        <f t="shared" si="1"/>
        <v>0</v>
      </c>
      <c r="F40" s="40">
        <f t="shared" si="2"/>
        <v>26</v>
      </c>
      <c r="G40" s="61">
        <v>0</v>
      </c>
      <c r="H40" s="41">
        <v>0</v>
      </c>
      <c r="I40" s="38">
        <v>20</v>
      </c>
      <c r="J40" s="148">
        <v>180</v>
      </c>
      <c r="K40" s="9"/>
      <c r="L40" s="9"/>
      <c r="M40" s="15">
        <f t="shared" si="3"/>
        <v>91</v>
      </c>
    </row>
    <row r="41" spans="1:13" ht="13.5" x14ac:dyDescent="0.25">
      <c r="A41" s="39">
        <v>30</v>
      </c>
      <c r="B41" s="38">
        <v>103</v>
      </c>
      <c r="C41" s="38">
        <v>79</v>
      </c>
      <c r="D41" s="40">
        <f t="shared" si="0"/>
        <v>91</v>
      </c>
      <c r="E41" s="40">
        <f t="shared" si="1"/>
        <v>0</v>
      </c>
      <c r="F41" s="40">
        <f t="shared" si="2"/>
        <v>26</v>
      </c>
      <c r="G41" s="61">
        <v>0.13</v>
      </c>
      <c r="H41" s="41">
        <v>0</v>
      </c>
      <c r="I41" s="38">
        <v>26</v>
      </c>
      <c r="J41" s="148">
        <v>60</v>
      </c>
      <c r="K41" s="9"/>
      <c r="L41" s="9"/>
      <c r="M41" s="15">
        <f t="shared" si="3"/>
        <v>91</v>
      </c>
    </row>
    <row r="42" spans="1:13" ht="13.5" x14ac:dyDescent="0.25">
      <c r="A42" s="166">
        <v>31</v>
      </c>
      <c r="B42" s="153">
        <v>100</v>
      </c>
      <c r="C42" s="153">
        <v>74</v>
      </c>
      <c r="D42" s="167">
        <f t="shared" si="0"/>
        <v>87</v>
      </c>
      <c r="E42" s="167">
        <f t="shared" si="1"/>
        <v>0</v>
      </c>
      <c r="F42" s="167">
        <f t="shared" si="2"/>
        <v>22</v>
      </c>
      <c r="G42" s="151">
        <v>1.55</v>
      </c>
      <c r="H42" s="152">
        <v>0</v>
      </c>
      <c r="I42" s="153">
        <v>36</v>
      </c>
      <c r="J42" s="154">
        <v>10</v>
      </c>
      <c r="K42" s="9"/>
      <c r="L42" s="9"/>
      <c r="M42" s="15">
        <f t="shared" si="3"/>
        <v>87</v>
      </c>
    </row>
    <row r="43" spans="1:13" ht="13.5" x14ac:dyDescent="0.25">
      <c r="A43" s="39" t="s">
        <v>24</v>
      </c>
      <c r="B43" s="35" t="s">
        <v>25</v>
      </c>
      <c r="C43" s="35" t="s">
        <v>25</v>
      </c>
      <c r="D43" s="40">
        <f>SUM(D12:D42)</f>
        <v>2748.5</v>
      </c>
      <c r="E43" s="40">
        <f>SUM(E12:E42)</f>
        <v>0</v>
      </c>
      <c r="F43" s="40">
        <f>SUM(F12:F42)</f>
        <v>733.5</v>
      </c>
      <c r="G43" s="61">
        <f>SUM(G12:G42)</f>
        <v>2.5300000000000002</v>
      </c>
      <c r="H43" s="41">
        <f>SUM(H12:H42)</f>
        <v>0</v>
      </c>
      <c r="I43" s="40" t="s">
        <v>25</v>
      </c>
      <c r="J43" s="156" t="s">
        <v>25</v>
      </c>
      <c r="K43" s="9"/>
      <c r="L43" s="9"/>
      <c r="M43" s="15">
        <f>IF(D43=0,65,D43)</f>
        <v>2748.5</v>
      </c>
    </row>
    <row r="44" spans="1:13" ht="13.5" x14ac:dyDescent="0.25">
      <c r="A44" s="39" t="s">
        <v>26</v>
      </c>
      <c r="B44" s="35">
        <f>MAXA(B12:B42)</f>
        <v>105</v>
      </c>
      <c r="C44" s="35">
        <f>MINA(C12:C42)</f>
        <v>72</v>
      </c>
      <c r="D44" s="40">
        <f>(B44+C44)/2</f>
        <v>88.5</v>
      </c>
      <c r="E44" s="40">
        <f>IF(65-D44&gt;0,65-M44,0)</f>
        <v>0</v>
      </c>
      <c r="F44" s="40">
        <f>IF((D44)-65&lt;0,0,(D44)-65)</f>
        <v>23.5</v>
      </c>
      <c r="G44" s="61">
        <f>MAXA(G13:G42)</f>
        <v>1.55</v>
      </c>
      <c r="H44" s="41">
        <f>MAXA(H13:H42)</f>
        <v>0</v>
      </c>
      <c r="I44" s="35">
        <f>MAXA(I12:I42)</f>
        <v>37</v>
      </c>
      <c r="J44" s="147">
        <v>320</v>
      </c>
      <c r="K44" s="9"/>
      <c r="L44" s="9"/>
      <c r="M44" s="9"/>
    </row>
    <row r="45" spans="1:13" ht="13.5" x14ac:dyDescent="0.25">
      <c r="A45" s="39" t="s">
        <v>27</v>
      </c>
      <c r="B45" s="40">
        <f>AVERAGEA(B12:B42)</f>
        <v>100.61290322580645</v>
      </c>
      <c r="C45" s="40">
        <f>AVERAGEA(C12:C42)</f>
        <v>76.709677419354833</v>
      </c>
      <c r="D45" s="40">
        <f>(B45+C45)/2</f>
        <v>88.661290322580641</v>
      </c>
      <c r="E45" s="40">
        <f>IF(65-D45&gt;0,65-M45,0)</f>
        <v>0</v>
      </c>
      <c r="F45" s="40">
        <f>IF((D45)-65&lt;0,0,(D45)-65)</f>
        <v>23.661290322580641</v>
      </c>
      <c r="G45" s="61">
        <f>AVERAGEA(G12:G42)</f>
        <v>8.1612903225806457E-2</v>
      </c>
      <c r="H45" s="41">
        <f>AVERAGEA(H12:H42)</f>
        <v>0</v>
      </c>
      <c r="I45" s="40">
        <f>AVERAGEA(I12:I42)</f>
        <v>23</v>
      </c>
      <c r="J45" s="173">
        <f>AVERAGE(J12:J42)</f>
        <v>133.54838709677421</v>
      </c>
      <c r="K45" s="9"/>
      <c r="L45" s="9"/>
      <c r="M45" s="9"/>
    </row>
    <row r="46" spans="1:13" ht="13.5" x14ac:dyDescent="0.25">
      <c r="A46" s="39" t="s">
        <v>28</v>
      </c>
      <c r="B46" s="35">
        <v>109</v>
      </c>
      <c r="C46" s="35">
        <v>59</v>
      </c>
      <c r="D46" s="40">
        <v>85</v>
      </c>
      <c r="E46" s="40">
        <f>AVERAGEA(E13:E42)</f>
        <v>0</v>
      </c>
      <c r="F46" s="40">
        <f>AVERAGEA(F13:F42)</f>
        <v>23.616666666666667</v>
      </c>
      <c r="G46" s="61">
        <v>2.2999999999999998</v>
      </c>
      <c r="H46" s="41" t="s">
        <v>25</v>
      </c>
      <c r="I46" s="35">
        <v>7</v>
      </c>
      <c r="J46" s="156">
        <v>160</v>
      </c>
      <c r="K46" s="9"/>
      <c r="L46" s="9"/>
      <c r="M46" s="9"/>
    </row>
    <row r="47" spans="1:13" ht="13.5" x14ac:dyDescent="0.25">
      <c r="A47" s="27" t="s">
        <v>29</v>
      </c>
      <c r="B47" s="34"/>
      <c r="C47" s="34"/>
      <c r="D47" s="145"/>
      <c r="E47" s="145"/>
      <c r="F47" s="145"/>
      <c r="G47" s="155">
        <f>(G43-G46)</f>
        <v>0.23000000000000043</v>
      </c>
      <c r="H47" s="34"/>
      <c r="I47" s="38"/>
      <c r="J47" s="29"/>
      <c r="K47" s="9"/>
      <c r="L47" s="9"/>
      <c r="M47" s="9"/>
    </row>
    <row r="48" spans="1:13" ht="13.5" x14ac:dyDescent="0.25">
      <c r="A48" s="192" t="s">
        <v>55</v>
      </c>
      <c r="B48" s="150"/>
      <c r="C48" s="150"/>
      <c r="D48" s="150"/>
      <c r="E48" s="150"/>
      <c r="F48" s="150"/>
      <c r="G48" s="150"/>
      <c r="H48" s="150"/>
      <c r="I48" s="150"/>
      <c r="J48" s="176"/>
      <c r="K48" s="9"/>
      <c r="L48" s="9"/>
      <c r="M48" s="9"/>
    </row>
    <row r="49" spans="1:13" ht="14.25" thickBot="1" x14ac:dyDescent="0.3">
      <c r="A49" s="193"/>
      <c r="B49" s="194"/>
      <c r="C49" s="194"/>
      <c r="D49" s="194"/>
      <c r="E49" s="194"/>
      <c r="F49" s="194"/>
      <c r="G49" s="194"/>
      <c r="H49" s="194"/>
      <c r="I49" s="160"/>
      <c r="J49" s="52"/>
      <c r="K49" s="9"/>
      <c r="L49" s="9"/>
      <c r="M49" s="9"/>
    </row>
    <row r="50" spans="1:13" ht="14.25" thickBot="1" x14ac:dyDescent="0.3">
      <c r="A50" s="20"/>
      <c r="B50" s="21"/>
      <c r="C50" s="21"/>
      <c r="D50" s="21"/>
      <c r="E50" s="21"/>
      <c r="F50" s="21"/>
      <c r="G50" s="21"/>
      <c r="H50" s="21"/>
      <c r="I50" s="21"/>
      <c r="J50" s="22"/>
      <c r="K50" s="9"/>
      <c r="L50" s="9"/>
      <c r="M50" s="9"/>
    </row>
    <row r="53" spans="1:13" x14ac:dyDescent="0.2">
      <c r="A53" s="203"/>
      <c r="B53" s="227" t="s">
        <v>31</v>
      </c>
      <c r="C53" s="227"/>
      <c r="D53" s="227"/>
      <c r="E53" s="227"/>
      <c r="F53" s="227"/>
      <c r="G53" s="227" t="s">
        <v>72</v>
      </c>
      <c r="H53" s="227"/>
      <c r="I53" s="227"/>
      <c r="J53" s="203" t="s">
        <v>73</v>
      </c>
    </row>
    <row r="54" spans="1:13" ht="25.5" x14ac:dyDescent="0.2">
      <c r="A54" s="203"/>
      <c r="B54" s="205" t="s">
        <v>66</v>
      </c>
      <c r="C54" s="205" t="s">
        <v>67</v>
      </c>
      <c r="D54" s="203" t="s">
        <v>16</v>
      </c>
      <c r="E54" s="205" t="s">
        <v>69</v>
      </c>
      <c r="F54" s="205" t="s">
        <v>68</v>
      </c>
      <c r="G54" s="205" t="s">
        <v>12</v>
      </c>
      <c r="H54" s="203" t="s">
        <v>16</v>
      </c>
      <c r="I54" s="205" t="s">
        <v>71</v>
      </c>
      <c r="J54" s="205" t="s">
        <v>70</v>
      </c>
    </row>
    <row r="55" spans="1:13" ht="25.5" x14ac:dyDescent="0.2">
      <c r="A55" s="205" t="s">
        <v>64</v>
      </c>
      <c r="B55" s="35">
        <f>MAXA(B12:B42)</f>
        <v>105</v>
      </c>
      <c r="C55" s="40">
        <f>AVERAGEA(B12:B42)</f>
        <v>100.61290322580645</v>
      </c>
      <c r="D55" s="40">
        <f>(B45+C45)/2</f>
        <v>88.661290322580641</v>
      </c>
      <c r="E55" s="40">
        <f>AVERAGEA(C12:C42)</f>
        <v>76.709677419354833</v>
      </c>
      <c r="F55" s="35">
        <f>MINA(C12:C42)</f>
        <v>72</v>
      </c>
      <c r="G55" s="61">
        <f>SUM(G12:G42)</f>
        <v>2.5300000000000002</v>
      </c>
      <c r="H55" s="61">
        <f>AVERAGEA(G12:G42)</f>
        <v>8.1612903225806457E-2</v>
      </c>
      <c r="I55" s="61">
        <f>MAXA(G12:G42)</f>
        <v>1.55</v>
      </c>
      <c r="J55" s="206">
        <f>MAXA(I12:I42)</f>
        <v>37</v>
      </c>
    </row>
    <row r="56" spans="1:13" x14ac:dyDescent="0.2">
      <c r="A56" s="203" t="s">
        <v>65</v>
      </c>
      <c r="B56" s="204">
        <v>109</v>
      </c>
      <c r="C56" s="204">
        <v>97</v>
      </c>
      <c r="D56" s="204">
        <v>85</v>
      </c>
      <c r="E56" s="204">
        <v>76</v>
      </c>
      <c r="F56" s="204">
        <v>59</v>
      </c>
      <c r="G56" s="204">
        <v>15.1</v>
      </c>
      <c r="H56" s="204">
        <v>2.2999999999999998</v>
      </c>
      <c r="I56" s="204">
        <v>7.2</v>
      </c>
      <c r="J56" s="204">
        <v>70</v>
      </c>
    </row>
  </sheetData>
  <mergeCells count="2">
    <mergeCell ref="B53:F53"/>
    <mergeCell ref="G53:I53"/>
  </mergeCells>
  <phoneticPr fontId="0" type="noConversion"/>
  <conditionalFormatting sqref="F55">
    <cfRule type="cellIs" dxfId="45" priority="1" stopIfTrue="1" operator="lessThan">
      <formula>$F$55</formula>
    </cfRule>
  </conditionalFormatting>
  <conditionalFormatting sqref="B55">
    <cfRule type="cellIs" dxfId="44" priority="2" stopIfTrue="1" operator="greaterThan">
      <formula>$B$54</formula>
    </cfRule>
  </conditionalFormatting>
  <conditionalFormatting sqref="C55">
    <cfRule type="cellIs" dxfId="43" priority="3" stopIfTrue="1" operator="greaterThan">
      <formula>$C$54</formula>
    </cfRule>
  </conditionalFormatting>
  <conditionalFormatting sqref="G55">
    <cfRule type="cellIs" dxfId="42" priority="4" stopIfTrue="1" operator="greaterThan">
      <formula>$G$54</formula>
    </cfRule>
  </conditionalFormatting>
  <conditionalFormatting sqref="I55">
    <cfRule type="cellIs" dxfId="41" priority="5" stopIfTrue="1" operator="greaterThan">
      <formula>$I$54</formula>
    </cfRule>
  </conditionalFormatting>
  <conditionalFormatting sqref="J55">
    <cfRule type="cellIs" dxfId="40" priority="6" stopIfTrue="1" operator="greaterThan">
      <formula>$J$54</formula>
    </cfRule>
  </conditionalFormatting>
  <conditionalFormatting sqref="D55">
    <cfRule type="cellIs" dxfId="39" priority="7" stopIfTrue="1" operator="lessThanOrEqual">
      <formula>$D$56</formula>
    </cfRule>
    <cfRule type="cellIs" dxfId="38" priority="8" stopIfTrue="1" operator="greaterThan">
      <formula>$D$56</formula>
    </cfRule>
  </conditionalFormatting>
  <conditionalFormatting sqref="E55">
    <cfRule type="cellIs" dxfId="37" priority="9" stopIfTrue="1" operator="lessThan">
      <formula>$E$56</formula>
    </cfRule>
    <cfRule type="cellIs" dxfId="36" priority="10" stopIfTrue="1" operator="greaterThan">
      <formula>$E$56</formula>
    </cfRule>
  </conditionalFormatting>
  <pageMargins left="0.75" right="0.75" top="1" bottom="1" header="0.5" footer="0.5"/>
  <pageSetup scale="95" orientation="portrait" horizont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2C73-8052-4B8A-B08A-A537B6F5D1ED}">
  <sheetPr codeName="Sheet9">
    <pageSetUpPr fitToPage="1"/>
  </sheetPr>
  <dimension ref="A1:M54"/>
  <sheetViews>
    <sheetView topLeftCell="A7" zoomScale="80" zoomScaleNormal="80" workbookViewId="0">
      <selection activeCell="G27" sqref="G27"/>
    </sheetView>
  </sheetViews>
  <sheetFormatPr defaultRowHeight="12.75" x14ac:dyDescent="0.2"/>
  <cols>
    <col min="1" max="1" width="10" bestFit="1" customWidth="1"/>
    <col min="2" max="3" width="11.7109375" customWidth="1"/>
    <col min="4" max="4" width="13.7109375" customWidth="1"/>
    <col min="5" max="6" width="11" bestFit="1" customWidth="1"/>
    <col min="7" max="7" width="18.5703125" customWidth="1"/>
    <col min="8" max="8" width="7.7109375" customWidth="1"/>
    <col min="9" max="9" width="11.42578125" customWidth="1"/>
    <col min="10" max="10" width="10.42578125" customWidth="1"/>
  </cols>
  <sheetData>
    <row r="1" spans="1:13" ht="18" x14ac:dyDescent="0.25">
      <c r="A1" s="93"/>
      <c r="B1" s="94"/>
      <c r="C1" s="94"/>
      <c r="D1" s="94"/>
      <c r="E1" s="94"/>
      <c r="F1" s="94"/>
      <c r="G1" s="94"/>
      <c r="H1" s="94"/>
      <c r="I1" s="94"/>
      <c r="J1" s="95"/>
    </row>
    <row r="2" spans="1:13" ht="18" x14ac:dyDescent="0.25">
      <c r="A2" s="96" t="s">
        <v>79</v>
      </c>
      <c r="B2" s="97"/>
      <c r="C2" s="98"/>
      <c r="D2" s="99"/>
      <c r="E2" s="99"/>
      <c r="F2" s="99"/>
      <c r="G2" s="99"/>
      <c r="H2" s="99"/>
      <c r="I2" s="99"/>
      <c r="J2" s="100"/>
      <c r="K2" s="4"/>
      <c r="L2" s="4"/>
      <c r="M2" s="4"/>
    </row>
    <row r="3" spans="1:13" ht="18" x14ac:dyDescent="0.25">
      <c r="A3" s="96" t="s">
        <v>0</v>
      </c>
      <c r="B3" s="97"/>
      <c r="C3" s="98"/>
      <c r="D3" s="99"/>
      <c r="E3" s="99"/>
      <c r="F3" s="99"/>
      <c r="G3" s="99"/>
      <c r="H3" s="99"/>
      <c r="I3" s="97"/>
      <c r="J3" s="100"/>
      <c r="K3" s="4"/>
      <c r="L3" s="4"/>
      <c r="M3" s="4"/>
    </row>
    <row r="4" spans="1:13" ht="18.75" x14ac:dyDescent="0.3">
      <c r="A4" s="101" t="s">
        <v>1</v>
      </c>
      <c r="B4" s="97"/>
      <c r="C4" s="98"/>
      <c r="D4" s="99"/>
      <c r="E4" s="99"/>
      <c r="F4" s="102"/>
      <c r="G4" s="99"/>
      <c r="H4" s="99"/>
      <c r="I4" s="97"/>
      <c r="J4" s="100"/>
      <c r="K4" s="4"/>
      <c r="L4" s="4"/>
      <c r="M4" s="4"/>
    </row>
    <row r="5" spans="1:13" ht="18" x14ac:dyDescent="0.25">
      <c r="A5" s="103" t="s">
        <v>89</v>
      </c>
      <c r="B5" s="99"/>
      <c r="C5" s="104"/>
      <c r="D5" s="99"/>
      <c r="E5" s="99"/>
      <c r="F5" s="99"/>
      <c r="G5" s="99"/>
      <c r="H5" s="99"/>
      <c r="I5" s="99"/>
      <c r="J5" s="100"/>
      <c r="K5" s="4"/>
      <c r="L5" s="4"/>
      <c r="M5" s="4"/>
    </row>
    <row r="6" spans="1:13" ht="19.5" thickBot="1" x14ac:dyDescent="0.35">
      <c r="A6" s="105"/>
      <c r="B6" s="106"/>
      <c r="C6" s="106"/>
      <c r="D6" s="107"/>
      <c r="E6" s="107"/>
      <c r="F6" s="107"/>
      <c r="G6" s="107"/>
      <c r="H6" s="107"/>
      <c r="I6" s="107"/>
      <c r="J6" s="108"/>
      <c r="K6" s="58"/>
      <c r="L6" s="58"/>
      <c r="M6" s="4"/>
    </row>
    <row r="7" spans="1:13" ht="18" customHeight="1" x14ac:dyDescent="0.25">
      <c r="A7" s="109"/>
      <c r="B7" s="228" t="s">
        <v>2</v>
      </c>
      <c r="C7" s="228"/>
      <c r="D7" s="228" t="s">
        <v>5</v>
      </c>
      <c r="E7" s="228"/>
      <c r="F7" s="228"/>
      <c r="G7" s="110" t="s">
        <v>3</v>
      </c>
      <c r="H7" s="111"/>
      <c r="I7" s="228" t="s">
        <v>4</v>
      </c>
      <c r="J7" s="230"/>
      <c r="K7" s="9"/>
      <c r="L7" s="9"/>
      <c r="M7" s="9"/>
    </row>
    <row r="8" spans="1:13" ht="18" customHeight="1" x14ac:dyDescent="0.25">
      <c r="A8" s="109"/>
      <c r="B8" s="111"/>
      <c r="C8" s="111"/>
      <c r="D8" s="229" t="s">
        <v>9</v>
      </c>
      <c r="E8" s="229"/>
      <c r="F8" s="229"/>
      <c r="G8" s="110" t="s">
        <v>6</v>
      </c>
      <c r="H8" s="110" t="s">
        <v>7</v>
      </c>
      <c r="I8" s="111"/>
      <c r="J8" s="112"/>
      <c r="K8" s="9"/>
      <c r="L8" s="9"/>
      <c r="M8" s="9"/>
    </row>
    <row r="9" spans="1:13" ht="18" customHeight="1" x14ac:dyDescent="0.25">
      <c r="A9" s="109"/>
      <c r="B9" s="110" t="s">
        <v>8</v>
      </c>
      <c r="C9" s="111"/>
      <c r="D9" s="110"/>
      <c r="E9" s="111"/>
      <c r="F9" s="111"/>
      <c r="G9" s="110" t="s">
        <v>10</v>
      </c>
      <c r="H9" s="110" t="s">
        <v>11</v>
      </c>
      <c r="I9" s="110" t="s">
        <v>12</v>
      </c>
      <c r="J9" s="113" t="s">
        <v>13</v>
      </c>
      <c r="K9" s="9"/>
      <c r="L9" s="9"/>
      <c r="M9" s="9"/>
    </row>
    <row r="10" spans="1:13" ht="18" customHeight="1" x14ac:dyDescent="0.25">
      <c r="A10" s="114" t="s">
        <v>14</v>
      </c>
      <c r="B10" s="110" t="s">
        <v>12</v>
      </c>
      <c r="C10" s="110" t="s">
        <v>15</v>
      </c>
      <c r="D10" s="110" t="s">
        <v>16</v>
      </c>
      <c r="E10" s="110" t="s">
        <v>17</v>
      </c>
      <c r="F10" s="110" t="s">
        <v>18</v>
      </c>
      <c r="G10" s="110" t="s">
        <v>19</v>
      </c>
      <c r="H10" s="110" t="s">
        <v>20</v>
      </c>
      <c r="I10" s="110" t="s">
        <v>21</v>
      </c>
      <c r="J10" s="113" t="s">
        <v>22</v>
      </c>
      <c r="K10" s="10"/>
      <c r="L10" s="9"/>
      <c r="M10" s="9"/>
    </row>
    <row r="11" spans="1:13" ht="18" customHeight="1" thickBot="1" x14ac:dyDescent="0.3">
      <c r="A11" s="115"/>
      <c r="B11" s="116"/>
      <c r="C11" s="116"/>
      <c r="D11" s="116"/>
      <c r="E11" s="116"/>
      <c r="F11" s="116"/>
      <c r="G11" s="116"/>
      <c r="H11" s="116"/>
      <c r="I11" s="116"/>
      <c r="J11" s="117"/>
      <c r="K11" s="60"/>
      <c r="L11" s="59"/>
      <c r="M11" s="9"/>
    </row>
    <row r="12" spans="1:13" ht="18" customHeight="1" x14ac:dyDescent="0.25">
      <c r="A12" s="118">
        <v>1</v>
      </c>
      <c r="B12" s="119">
        <v>89</v>
      </c>
      <c r="C12" s="119">
        <v>76</v>
      </c>
      <c r="D12" s="120">
        <f t="shared" ref="D12:D41" si="0">(B12+C12)/2</f>
        <v>82.5</v>
      </c>
      <c r="E12" s="120">
        <f t="shared" ref="E12:E41" si="1">IF(65-D12&gt;0,65-M12,0)</f>
        <v>0</v>
      </c>
      <c r="F12" s="120">
        <f t="shared" ref="F12:F41" si="2">IF((D12)-65&lt;0,0,(D12)-65)</f>
        <v>17.5</v>
      </c>
      <c r="G12" s="121">
        <v>0.01</v>
      </c>
      <c r="H12" s="122">
        <v>0</v>
      </c>
      <c r="I12" s="119">
        <v>14</v>
      </c>
      <c r="J12" s="123">
        <v>290</v>
      </c>
      <c r="K12" s="9"/>
      <c r="L12" s="16"/>
      <c r="M12" s="15">
        <f t="shared" ref="M12:M41" si="3">IF(D12=0,65,D12)</f>
        <v>82.5</v>
      </c>
    </row>
    <row r="13" spans="1:13" ht="18" customHeight="1" x14ac:dyDescent="0.25">
      <c r="A13" s="118">
        <v>2</v>
      </c>
      <c r="B13" s="119">
        <v>99</v>
      </c>
      <c r="C13" s="119">
        <v>73</v>
      </c>
      <c r="D13" s="120">
        <f t="shared" si="0"/>
        <v>86</v>
      </c>
      <c r="E13" s="120">
        <f t="shared" si="1"/>
        <v>0</v>
      </c>
      <c r="F13" s="120">
        <f t="shared" si="2"/>
        <v>21</v>
      </c>
      <c r="G13" s="124">
        <v>0</v>
      </c>
      <c r="H13" s="122">
        <v>0</v>
      </c>
      <c r="I13" s="119">
        <v>22</v>
      </c>
      <c r="J13" s="123">
        <v>30</v>
      </c>
      <c r="K13" s="9"/>
      <c r="L13" s="9"/>
      <c r="M13" s="15">
        <f t="shared" si="3"/>
        <v>86</v>
      </c>
    </row>
    <row r="14" spans="1:13" ht="18" customHeight="1" x14ac:dyDescent="0.25">
      <c r="A14" s="118">
        <v>3</v>
      </c>
      <c r="B14" s="119">
        <v>100</v>
      </c>
      <c r="C14" s="119">
        <v>76</v>
      </c>
      <c r="D14" s="120">
        <f t="shared" si="0"/>
        <v>88</v>
      </c>
      <c r="E14" s="120">
        <f t="shared" si="1"/>
        <v>0</v>
      </c>
      <c r="F14" s="120">
        <f t="shared" si="2"/>
        <v>23</v>
      </c>
      <c r="G14" s="124">
        <v>0</v>
      </c>
      <c r="H14" s="122">
        <v>0</v>
      </c>
      <c r="I14" s="119">
        <v>18</v>
      </c>
      <c r="J14" s="123">
        <v>10</v>
      </c>
      <c r="K14" s="9"/>
      <c r="L14" s="9"/>
      <c r="M14" s="15">
        <f t="shared" si="3"/>
        <v>88</v>
      </c>
    </row>
    <row r="15" spans="1:13" ht="18" customHeight="1" x14ac:dyDescent="0.25">
      <c r="A15" s="118">
        <v>4</v>
      </c>
      <c r="B15" s="119">
        <v>102</v>
      </c>
      <c r="C15" s="119">
        <v>69</v>
      </c>
      <c r="D15" s="120">
        <f t="shared" si="0"/>
        <v>85.5</v>
      </c>
      <c r="E15" s="120">
        <f t="shared" si="1"/>
        <v>0</v>
      </c>
      <c r="F15" s="120">
        <f t="shared" si="2"/>
        <v>20.5</v>
      </c>
      <c r="G15" s="124">
        <v>0</v>
      </c>
      <c r="H15" s="122">
        <v>0</v>
      </c>
      <c r="I15" s="119">
        <v>20</v>
      </c>
      <c r="J15" s="123">
        <v>130</v>
      </c>
      <c r="K15" s="9"/>
      <c r="L15" s="9"/>
      <c r="M15" s="15">
        <f t="shared" si="3"/>
        <v>85.5</v>
      </c>
    </row>
    <row r="16" spans="1:13" ht="18" customHeight="1" x14ac:dyDescent="0.25">
      <c r="A16" s="118">
        <v>5</v>
      </c>
      <c r="B16" s="119">
        <v>100</v>
      </c>
      <c r="C16" s="119">
        <v>77</v>
      </c>
      <c r="D16" s="120">
        <f t="shared" si="0"/>
        <v>88.5</v>
      </c>
      <c r="E16" s="120">
        <f t="shared" si="1"/>
        <v>0</v>
      </c>
      <c r="F16" s="120">
        <f t="shared" si="2"/>
        <v>23.5</v>
      </c>
      <c r="G16" s="124">
        <v>0</v>
      </c>
      <c r="H16" s="122">
        <v>0</v>
      </c>
      <c r="I16" s="119">
        <v>25</v>
      </c>
      <c r="J16" s="123">
        <v>150</v>
      </c>
      <c r="K16" s="9"/>
      <c r="L16" s="9"/>
      <c r="M16" s="15">
        <f t="shared" si="3"/>
        <v>88.5</v>
      </c>
    </row>
    <row r="17" spans="1:13" ht="18" customHeight="1" x14ac:dyDescent="0.25">
      <c r="A17" s="118">
        <v>6</v>
      </c>
      <c r="B17" s="119">
        <v>93</v>
      </c>
      <c r="C17" s="119">
        <v>77</v>
      </c>
      <c r="D17" s="120">
        <f t="shared" si="0"/>
        <v>85</v>
      </c>
      <c r="E17" s="120">
        <f t="shared" si="1"/>
        <v>0</v>
      </c>
      <c r="F17" s="120">
        <f t="shared" si="2"/>
        <v>20</v>
      </c>
      <c r="G17" s="124">
        <v>0</v>
      </c>
      <c r="H17" s="122">
        <v>0</v>
      </c>
      <c r="I17" s="119">
        <v>35</v>
      </c>
      <c r="J17" s="123">
        <v>350</v>
      </c>
      <c r="K17" s="9"/>
      <c r="L17" s="9"/>
      <c r="M17" s="15">
        <f t="shared" si="3"/>
        <v>85</v>
      </c>
    </row>
    <row r="18" spans="1:13" ht="18" customHeight="1" x14ac:dyDescent="0.25">
      <c r="A18" s="118">
        <v>7</v>
      </c>
      <c r="B18" s="125">
        <v>80</v>
      </c>
      <c r="C18" s="125">
        <v>73</v>
      </c>
      <c r="D18" s="120">
        <f t="shared" si="0"/>
        <v>76.5</v>
      </c>
      <c r="E18" s="120">
        <f t="shared" si="1"/>
        <v>0</v>
      </c>
      <c r="F18" s="120">
        <f t="shared" si="2"/>
        <v>11.5</v>
      </c>
      <c r="G18" s="124">
        <v>0.17</v>
      </c>
      <c r="H18" s="122">
        <v>0</v>
      </c>
      <c r="I18" s="125">
        <v>16</v>
      </c>
      <c r="J18" s="126">
        <v>50</v>
      </c>
      <c r="K18" s="9"/>
      <c r="L18" s="9"/>
      <c r="M18" s="15">
        <f t="shared" si="3"/>
        <v>76.5</v>
      </c>
    </row>
    <row r="19" spans="1:13" ht="18" customHeight="1" x14ac:dyDescent="0.25">
      <c r="A19" s="118">
        <v>8</v>
      </c>
      <c r="B19" s="125">
        <v>89</v>
      </c>
      <c r="C19" s="125">
        <v>70</v>
      </c>
      <c r="D19" s="120">
        <f t="shared" si="0"/>
        <v>79.5</v>
      </c>
      <c r="E19" s="120">
        <f t="shared" si="1"/>
        <v>0</v>
      </c>
      <c r="F19" s="120">
        <f t="shared" si="2"/>
        <v>14.5</v>
      </c>
      <c r="G19" s="124">
        <v>0</v>
      </c>
      <c r="H19" s="122">
        <v>0</v>
      </c>
      <c r="I19" s="125">
        <v>16</v>
      </c>
      <c r="J19" s="126">
        <v>50</v>
      </c>
      <c r="K19" s="9"/>
      <c r="L19" s="9"/>
      <c r="M19" s="15">
        <f t="shared" si="3"/>
        <v>79.5</v>
      </c>
    </row>
    <row r="20" spans="1:13" ht="18" customHeight="1" x14ac:dyDescent="0.25">
      <c r="A20" s="118">
        <v>9</v>
      </c>
      <c r="B20" s="125">
        <v>93</v>
      </c>
      <c r="C20" s="125">
        <v>66</v>
      </c>
      <c r="D20" s="120">
        <f t="shared" si="0"/>
        <v>79.5</v>
      </c>
      <c r="E20" s="120">
        <f t="shared" si="1"/>
        <v>0</v>
      </c>
      <c r="F20" s="120">
        <f t="shared" si="2"/>
        <v>14.5</v>
      </c>
      <c r="G20" s="124">
        <v>0</v>
      </c>
      <c r="H20" s="122">
        <v>0</v>
      </c>
      <c r="I20" s="125">
        <v>12</v>
      </c>
      <c r="J20" s="126">
        <v>80</v>
      </c>
      <c r="K20" s="9"/>
      <c r="L20" s="9"/>
      <c r="M20" s="15">
        <f t="shared" si="3"/>
        <v>79.5</v>
      </c>
    </row>
    <row r="21" spans="1:13" ht="18" customHeight="1" x14ac:dyDescent="0.25">
      <c r="A21" s="118">
        <v>10</v>
      </c>
      <c r="B21" s="125">
        <v>95</v>
      </c>
      <c r="C21" s="125">
        <v>69</v>
      </c>
      <c r="D21" s="120">
        <f t="shared" si="0"/>
        <v>82</v>
      </c>
      <c r="E21" s="120">
        <f t="shared" si="1"/>
        <v>0</v>
      </c>
      <c r="F21" s="120">
        <f t="shared" si="2"/>
        <v>17</v>
      </c>
      <c r="G21" s="124">
        <v>0</v>
      </c>
      <c r="H21" s="122">
        <v>0</v>
      </c>
      <c r="I21" s="125">
        <v>11</v>
      </c>
      <c r="J21" s="126">
        <v>60</v>
      </c>
      <c r="K21" s="9"/>
      <c r="L21" s="9"/>
      <c r="M21" s="15">
        <f t="shared" si="3"/>
        <v>82</v>
      </c>
    </row>
    <row r="22" spans="1:13" ht="18" customHeight="1" x14ac:dyDescent="0.25">
      <c r="A22" s="118">
        <v>11</v>
      </c>
      <c r="B22" s="125">
        <v>96</v>
      </c>
      <c r="C22" s="125">
        <v>68</v>
      </c>
      <c r="D22" s="120">
        <f t="shared" si="0"/>
        <v>82</v>
      </c>
      <c r="E22" s="120">
        <f t="shared" si="1"/>
        <v>0</v>
      </c>
      <c r="F22" s="120">
        <f t="shared" si="2"/>
        <v>17</v>
      </c>
      <c r="G22" s="124">
        <v>0</v>
      </c>
      <c r="H22" s="122">
        <v>0</v>
      </c>
      <c r="I22" s="125">
        <v>20</v>
      </c>
      <c r="J22" s="126">
        <v>120</v>
      </c>
      <c r="K22" s="9"/>
      <c r="L22" s="9"/>
      <c r="M22" s="15">
        <f t="shared" si="3"/>
        <v>82</v>
      </c>
    </row>
    <row r="23" spans="1:13" ht="18" customHeight="1" x14ac:dyDescent="0.25">
      <c r="A23" s="118">
        <v>12</v>
      </c>
      <c r="B23" s="125">
        <v>97</v>
      </c>
      <c r="C23" s="125">
        <v>76</v>
      </c>
      <c r="D23" s="120">
        <f t="shared" si="0"/>
        <v>86.5</v>
      </c>
      <c r="E23" s="120">
        <f t="shared" si="1"/>
        <v>0</v>
      </c>
      <c r="F23" s="120">
        <f t="shared" si="2"/>
        <v>21.5</v>
      </c>
      <c r="G23" s="124">
        <v>0</v>
      </c>
      <c r="H23" s="122">
        <v>0</v>
      </c>
      <c r="I23" s="125">
        <v>22</v>
      </c>
      <c r="J23" s="127">
        <v>110</v>
      </c>
      <c r="K23" s="9"/>
      <c r="L23" s="9"/>
      <c r="M23" s="15">
        <f t="shared" si="3"/>
        <v>86.5</v>
      </c>
    </row>
    <row r="24" spans="1:13" ht="18" customHeight="1" x14ac:dyDescent="0.25">
      <c r="A24" s="118">
        <v>13</v>
      </c>
      <c r="B24" s="125">
        <v>95</v>
      </c>
      <c r="C24" s="125">
        <v>71</v>
      </c>
      <c r="D24" s="120">
        <f t="shared" si="0"/>
        <v>83</v>
      </c>
      <c r="E24" s="120">
        <f t="shared" si="1"/>
        <v>0</v>
      </c>
      <c r="F24" s="120">
        <f t="shared" si="2"/>
        <v>18</v>
      </c>
      <c r="G24" s="124">
        <v>0</v>
      </c>
      <c r="H24" s="122">
        <v>0</v>
      </c>
      <c r="I24" s="125">
        <v>25</v>
      </c>
      <c r="J24" s="126">
        <v>130</v>
      </c>
      <c r="K24" s="9"/>
      <c r="L24" s="9"/>
      <c r="M24" s="15">
        <f t="shared" si="3"/>
        <v>83</v>
      </c>
    </row>
    <row r="25" spans="1:13" ht="18" customHeight="1" x14ac:dyDescent="0.25">
      <c r="A25" s="118">
        <v>14</v>
      </c>
      <c r="B25" s="125">
        <v>96</v>
      </c>
      <c r="C25" s="125">
        <v>73</v>
      </c>
      <c r="D25" s="120">
        <f t="shared" si="0"/>
        <v>84.5</v>
      </c>
      <c r="E25" s="120">
        <f t="shared" si="1"/>
        <v>0</v>
      </c>
      <c r="F25" s="120">
        <f t="shared" si="2"/>
        <v>19.5</v>
      </c>
      <c r="G25" s="124">
        <v>0</v>
      </c>
      <c r="H25" s="122">
        <v>0</v>
      </c>
      <c r="I25" s="125">
        <v>21</v>
      </c>
      <c r="J25" s="126">
        <v>140</v>
      </c>
      <c r="K25" s="9"/>
      <c r="L25" s="9"/>
      <c r="M25" s="15">
        <f t="shared" si="3"/>
        <v>84.5</v>
      </c>
    </row>
    <row r="26" spans="1:13" ht="18" customHeight="1" x14ac:dyDescent="0.25">
      <c r="A26" s="118">
        <v>15</v>
      </c>
      <c r="B26" s="125">
        <v>95</v>
      </c>
      <c r="C26" s="125">
        <v>72</v>
      </c>
      <c r="D26" s="120">
        <f t="shared" si="0"/>
        <v>83.5</v>
      </c>
      <c r="E26" s="120">
        <f t="shared" si="1"/>
        <v>0</v>
      </c>
      <c r="F26" s="120">
        <f t="shared" si="2"/>
        <v>18.5</v>
      </c>
      <c r="G26" s="124">
        <v>0</v>
      </c>
      <c r="H26" s="122">
        <v>0</v>
      </c>
      <c r="I26" s="125">
        <v>28</v>
      </c>
      <c r="J26" s="126">
        <v>100</v>
      </c>
      <c r="K26" s="9"/>
      <c r="L26" s="9"/>
      <c r="M26" s="15">
        <f t="shared" si="3"/>
        <v>83.5</v>
      </c>
    </row>
    <row r="27" spans="1:13" ht="18" customHeight="1" x14ac:dyDescent="0.25">
      <c r="A27" s="118">
        <v>16</v>
      </c>
      <c r="B27" s="125">
        <v>94</v>
      </c>
      <c r="C27" s="125">
        <v>72</v>
      </c>
      <c r="D27" s="120">
        <f t="shared" si="0"/>
        <v>83</v>
      </c>
      <c r="E27" s="120">
        <f t="shared" si="1"/>
        <v>0</v>
      </c>
      <c r="F27" s="120">
        <f t="shared" si="2"/>
        <v>18</v>
      </c>
      <c r="G27" s="124">
        <v>0</v>
      </c>
      <c r="H27" s="122">
        <v>0</v>
      </c>
      <c r="I27" s="125">
        <v>18</v>
      </c>
      <c r="J27" s="126">
        <v>150</v>
      </c>
      <c r="K27" s="9"/>
      <c r="L27" s="9"/>
      <c r="M27" s="15">
        <f t="shared" si="3"/>
        <v>83</v>
      </c>
    </row>
    <row r="28" spans="1:13" ht="18" customHeight="1" x14ac:dyDescent="0.25">
      <c r="A28" s="118">
        <v>17</v>
      </c>
      <c r="B28" s="125">
        <v>95</v>
      </c>
      <c r="C28" s="125">
        <v>71</v>
      </c>
      <c r="D28" s="120">
        <f t="shared" si="0"/>
        <v>83</v>
      </c>
      <c r="E28" s="120">
        <f t="shared" si="1"/>
        <v>0</v>
      </c>
      <c r="F28" s="120">
        <f t="shared" si="2"/>
        <v>18</v>
      </c>
      <c r="G28" s="124">
        <v>0</v>
      </c>
      <c r="H28" s="122">
        <v>0</v>
      </c>
      <c r="I28" s="125">
        <v>20</v>
      </c>
      <c r="J28" s="126">
        <v>130</v>
      </c>
      <c r="K28" s="9"/>
      <c r="L28" s="9"/>
      <c r="M28" s="15">
        <f t="shared" si="3"/>
        <v>83</v>
      </c>
    </row>
    <row r="29" spans="1:13" ht="18" customHeight="1" x14ac:dyDescent="0.25">
      <c r="A29" s="118">
        <v>18</v>
      </c>
      <c r="B29" s="125">
        <v>95</v>
      </c>
      <c r="C29" s="125">
        <v>71</v>
      </c>
      <c r="D29" s="120">
        <f t="shared" si="0"/>
        <v>83</v>
      </c>
      <c r="E29" s="120">
        <f t="shared" si="1"/>
        <v>0</v>
      </c>
      <c r="F29" s="120">
        <f t="shared" si="2"/>
        <v>18</v>
      </c>
      <c r="G29" s="124">
        <v>0</v>
      </c>
      <c r="H29" s="122">
        <v>0</v>
      </c>
      <c r="I29" s="125">
        <v>19</v>
      </c>
      <c r="J29" s="126">
        <v>130</v>
      </c>
      <c r="K29" s="9"/>
      <c r="L29" s="9"/>
      <c r="M29" s="15">
        <f t="shared" si="3"/>
        <v>83</v>
      </c>
    </row>
    <row r="30" spans="1:13" ht="18" customHeight="1" x14ac:dyDescent="0.25">
      <c r="A30" s="118">
        <v>19</v>
      </c>
      <c r="B30" s="125">
        <v>96</v>
      </c>
      <c r="C30" s="125">
        <v>71</v>
      </c>
      <c r="D30" s="120">
        <f>(B30+C30)/2</f>
        <v>83.5</v>
      </c>
      <c r="E30" s="120">
        <f t="shared" si="1"/>
        <v>0</v>
      </c>
      <c r="F30" s="120">
        <f t="shared" si="2"/>
        <v>18.5</v>
      </c>
      <c r="G30" s="124">
        <v>0</v>
      </c>
      <c r="H30" s="122">
        <v>0</v>
      </c>
      <c r="I30" s="125">
        <v>17</v>
      </c>
      <c r="J30" s="126">
        <v>140</v>
      </c>
      <c r="K30" s="9"/>
      <c r="L30" s="9"/>
      <c r="M30" s="15">
        <f t="shared" si="3"/>
        <v>83.5</v>
      </c>
    </row>
    <row r="31" spans="1:13" ht="18" customHeight="1" x14ac:dyDescent="0.25">
      <c r="A31" s="118">
        <v>20</v>
      </c>
      <c r="B31" s="125">
        <v>96</v>
      </c>
      <c r="C31" s="125">
        <v>70</v>
      </c>
      <c r="D31" s="120">
        <f>(B31+C31)/2</f>
        <v>83</v>
      </c>
      <c r="E31" s="120">
        <f t="shared" si="1"/>
        <v>0</v>
      </c>
      <c r="F31" s="120">
        <f t="shared" si="2"/>
        <v>18</v>
      </c>
      <c r="G31" s="124">
        <v>0</v>
      </c>
      <c r="H31" s="122">
        <v>0</v>
      </c>
      <c r="I31" s="125">
        <v>22</v>
      </c>
      <c r="J31" s="126">
        <v>160</v>
      </c>
      <c r="K31" s="9"/>
      <c r="L31" s="9"/>
      <c r="M31" s="15">
        <f t="shared" si="3"/>
        <v>83</v>
      </c>
    </row>
    <row r="32" spans="1:13" ht="18" customHeight="1" x14ac:dyDescent="0.25">
      <c r="A32" s="118">
        <v>21</v>
      </c>
      <c r="B32" s="125">
        <v>97</v>
      </c>
      <c r="C32" s="125">
        <v>77</v>
      </c>
      <c r="D32" s="120">
        <f t="shared" si="0"/>
        <v>87</v>
      </c>
      <c r="E32" s="120">
        <f t="shared" si="1"/>
        <v>0</v>
      </c>
      <c r="F32" s="120">
        <f t="shared" si="2"/>
        <v>22</v>
      </c>
      <c r="G32" s="124">
        <v>0</v>
      </c>
      <c r="H32" s="122">
        <v>0</v>
      </c>
      <c r="I32" s="125">
        <v>23</v>
      </c>
      <c r="J32" s="126">
        <v>140</v>
      </c>
      <c r="K32" s="9"/>
      <c r="L32" s="9"/>
      <c r="M32" s="15">
        <f t="shared" si="3"/>
        <v>87</v>
      </c>
    </row>
    <row r="33" spans="1:13" ht="18" customHeight="1" x14ac:dyDescent="0.25">
      <c r="A33" s="118">
        <v>22</v>
      </c>
      <c r="B33" s="125">
        <v>99</v>
      </c>
      <c r="C33" s="125">
        <v>78</v>
      </c>
      <c r="D33" s="120">
        <f t="shared" si="0"/>
        <v>88.5</v>
      </c>
      <c r="E33" s="120">
        <f t="shared" si="1"/>
        <v>0</v>
      </c>
      <c r="F33" s="120">
        <f t="shared" si="2"/>
        <v>23.5</v>
      </c>
      <c r="G33" s="124">
        <v>0</v>
      </c>
      <c r="H33" s="122">
        <v>0</v>
      </c>
      <c r="I33" s="125">
        <v>22</v>
      </c>
      <c r="J33" s="126">
        <v>150</v>
      </c>
      <c r="K33" s="9"/>
      <c r="L33" s="9"/>
      <c r="M33" s="15">
        <f t="shared" si="3"/>
        <v>88.5</v>
      </c>
    </row>
    <row r="34" spans="1:13" ht="18" customHeight="1" x14ac:dyDescent="0.25">
      <c r="A34" s="118">
        <v>23</v>
      </c>
      <c r="B34" s="125">
        <v>100</v>
      </c>
      <c r="C34" s="125">
        <v>80</v>
      </c>
      <c r="D34" s="120">
        <f t="shared" si="0"/>
        <v>90</v>
      </c>
      <c r="E34" s="120">
        <f t="shared" si="1"/>
        <v>0</v>
      </c>
      <c r="F34" s="120">
        <f t="shared" si="2"/>
        <v>25</v>
      </c>
      <c r="G34" s="124">
        <v>0</v>
      </c>
      <c r="H34" s="122">
        <v>0</v>
      </c>
      <c r="I34" s="125">
        <v>24</v>
      </c>
      <c r="J34" s="126">
        <v>160</v>
      </c>
      <c r="K34" s="9"/>
      <c r="L34" s="9"/>
      <c r="M34" s="15">
        <f t="shared" si="3"/>
        <v>90</v>
      </c>
    </row>
    <row r="35" spans="1:13" ht="18" customHeight="1" x14ac:dyDescent="0.25">
      <c r="A35" s="118">
        <v>24</v>
      </c>
      <c r="B35" s="125">
        <v>96</v>
      </c>
      <c r="C35" s="125">
        <v>79</v>
      </c>
      <c r="D35" s="120">
        <f t="shared" si="0"/>
        <v>87.5</v>
      </c>
      <c r="E35" s="120">
        <f t="shared" si="1"/>
        <v>0</v>
      </c>
      <c r="F35" s="120">
        <f t="shared" si="2"/>
        <v>22.5</v>
      </c>
      <c r="G35" s="124">
        <v>0</v>
      </c>
      <c r="H35" s="122">
        <v>0</v>
      </c>
      <c r="I35" s="125">
        <v>22</v>
      </c>
      <c r="J35" s="126">
        <v>10</v>
      </c>
      <c r="K35" s="9"/>
      <c r="L35" s="9"/>
      <c r="M35" s="15">
        <f t="shared" si="3"/>
        <v>87.5</v>
      </c>
    </row>
    <row r="36" spans="1:13" ht="18" customHeight="1" x14ac:dyDescent="0.25">
      <c r="A36" s="118">
        <v>25</v>
      </c>
      <c r="B36" s="125">
        <v>95</v>
      </c>
      <c r="C36" s="125">
        <v>78</v>
      </c>
      <c r="D36" s="120">
        <f t="shared" si="0"/>
        <v>86.5</v>
      </c>
      <c r="E36" s="120">
        <f t="shared" si="1"/>
        <v>0</v>
      </c>
      <c r="F36" s="120">
        <f t="shared" si="2"/>
        <v>21.5</v>
      </c>
      <c r="G36" s="124">
        <v>0</v>
      </c>
      <c r="H36" s="122">
        <v>0</v>
      </c>
      <c r="I36" s="125">
        <v>22</v>
      </c>
      <c r="J36" s="126">
        <v>350</v>
      </c>
      <c r="K36" s="9"/>
      <c r="L36" s="9"/>
      <c r="M36" s="15">
        <f t="shared" si="3"/>
        <v>86.5</v>
      </c>
    </row>
    <row r="37" spans="1:13" ht="18" customHeight="1" x14ac:dyDescent="0.25">
      <c r="A37" s="118">
        <v>26</v>
      </c>
      <c r="B37" s="125">
        <v>94</v>
      </c>
      <c r="C37" s="125">
        <v>66</v>
      </c>
      <c r="D37" s="120">
        <f t="shared" si="0"/>
        <v>80</v>
      </c>
      <c r="E37" s="120">
        <f t="shared" si="1"/>
        <v>0</v>
      </c>
      <c r="F37" s="120">
        <f t="shared" si="2"/>
        <v>15</v>
      </c>
      <c r="G37" s="124">
        <v>0</v>
      </c>
      <c r="H37" s="122">
        <v>0</v>
      </c>
      <c r="I37" s="125">
        <v>14</v>
      </c>
      <c r="J37" s="126">
        <v>350</v>
      </c>
      <c r="K37" s="9"/>
      <c r="L37" s="9"/>
      <c r="M37" s="15">
        <f t="shared" si="3"/>
        <v>80</v>
      </c>
    </row>
    <row r="38" spans="1:13" ht="18" customHeight="1" x14ac:dyDescent="0.25">
      <c r="A38" s="118">
        <v>27</v>
      </c>
      <c r="B38" s="125">
        <v>94</v>
      </c>
      <c r="C38" s="125">
        <v>65</v>
      </c>
      <c r="D38" s="120">
        <f t="shared" si="0"/>
        <v>79.5</v>
      </c>
      <c r="E38" s="120">
        <f t="shared" si="1"/>
        <v>0</v>
      </c>
      <c r="F38" s="120">
        <f t="shared" si="2"/>
        <v>14.5</v>
      </c>
      <c r="G38" s="124">
        <v>0</v>
      </c>
      <c r="H38" s="122">
        <v>0</v>
      </c>
      <c r="I38" s="125">
        <v>18</v>
      </c>
      <c r="J38" s="127">
        <v>60</v>
      </c>
      <c r="K38" s="9"/>
      <c r="L38" s="9"/>
      <c r="M38" s="15">
        <f t="shared" si="3"/>
        <v>79.5</v>
      </c>
    </row>
    <row r="39" spans="1:13" ht="18" customHeight="1" x14ac:dyDescent="0.25">
      <c r="A39" s="118">
        <v>28</v>
      </c>
      <c r="B39" s="125">
        <v>92</v>
      </c>
      <c r="C39" s="125">
        <v>65</v>
      </c>
      <c r="D39" s="120">
        <f t="shared" si="0"/>
        <v>78.5</v>
      </c>
      <c r="E39" s="120">
        <f t="shared" si="1"/>
        <v>0</v>
      </c>
      <c r="F39" s="120">
        <f t="shared" si="2"/>
        <v>13.5</v>
      </c>
      <c r="G39" s="124">
        <v>0</v>
      </c>
      <c r="H39" s="122">
        <v>0</v>
      </c>
      <c r="I39" s="125">
        <v>18</v>
      </c>
      <c r="J39" s="126">
        <v>30</v>
      </c>
      <c r="K39" s="9"/>
      <c r="L39" s="9"/>
      <c r="M39" s="15">
        <f t="shared" si="3"/>
        <v>78.5</v>
      </c>
    </row>
    <row r="40" spans="1:13" ht="18" customHeight="1" x14ac:dyDescent="0.25">
      <c r="A40" s="118">
        <v>29</v>
      </c>
      <c r="B40" s="125">
        <v>89</v>
      </c>
      <c r="C40" s="125">
        <v>66</v>
      </c>
      <c r="D40" s="120">
        <f t="shared" si="0"/>
        <v>77.5</v>
      </c>
      <c r="E40" s="120">
        <f t="shared" si="1"/>
        <v>0</v>
      </c>
      <c r="F40" s="120">
        <f t="shared" si="2"/>
        <v>12.5</v>
      </c>
      <c r="G40" s="124">
        <v>0</v>
      </c>
      <c r="H40" s="122">
        <v>0</v>
      </c>
      <c r="I40" s="125">
        <v>13</v>
      </c>
      <c r="J40" s="126">
        <v>350</v>
      </c>
      <c r="K40" s="9"/>
      <c r="L40" s="9"/>
      <c r="M40" s="15">
        <f t="shared" si="3"/>
        <v>77.5</v>
      </c>
    </row>
    <row r="41" spans="1:13" ht="18" customHeight="1" x14ac:dyDescent="0.25">
      <c r="A41" s="118">
        <v>30</v>
      </c>
      <c r="B41" s="125">
        <v>94</v>
      </c>
      <c r="C41" s="125">
        <v>67</v>
      </c>
      <c r="D41" s="120">
        <f t="shared" si="0"/>
        <v>80.5</v>
      </c>
      <c r="E41" s="120">
        <f t="shared" si="1"/>
        <v>0</v>
      </c>
      <c r="F41" s="120">
        <f t="shared" si="2"/>
        <v>15.5</v>
      </c>
      <c r="G41" s="124">
        <v>0</v>
      </c>
      <c r="H41" s="122">
        <v>0</v>
      </c>
      <c r="I41" s="125">
        <v>12</v>
      </c>
      <c r="J41" s="126">
        <v>150</v>
      </c>
      <c r="K41" s="9"/>
      <c r="L41" s="9"/>
      <c r="M41" s="15">
        <f t="shared" si="3"/>
        <v>80.5</v>
      </c>
    </row>
    <row r="42" spans="1:13" ht="18" customHeight="1" thickBot="1" x14ac:dyDescent="0.3">
      <c r="A42" s="115" t="s">
        <v>24</v>
      </c>
      <c r="B42" s="116" t="s">
        <v>25</v>
      </c>
      <c r="C42" s="116" t="s">
        <v>25</v>
      </c>
      <c r="D42" s="128">
        <f>SUM(D12:D41)</f>
        <v>2503.5</v>
      </c>
      <c r="E42" s="128">
        <f>SUM(E12:E41)</f>
        <v>0</v>
      </c>
      <c r="F42" s="128">
        <f>SUM(F12:F41)</f>
        <v>553.5</v>
      </c>
      <c r="G42" s="129">
        <f>SUM(G12:G41)</f>
        <v>0.18000000000000002</v>
      </c>
      <c r="H42" s="130">
        <f>SUM(H12:H41)</f>
        <v>0</v>
      </c>
      <c r="I42" s="128" t="s">
        <v>25</v>
      </c>
      <c r="J42" s="131" t="s">
        <v>25</v>
      </c>
      <c r="K42" s="9"/>
      <c r="L42" s="9"/>
      <c r="M42" s="15">
        <f>IF(D42=0,65,D42)</f>
        <v>2503.5</v>
      </c>
    </row>
    <row r="43" spans="1:13" ht="18" customHeight="1" x14ac:dyDescent="0.25">
      <c r="A43" s="118" t="s">
        <v>26</v>
      </c>
      <c r="B43" s="218">
        <f>MAXA(B12:B41)</f>
        <v>102</v>
      </c>
      <c r="C43" s="119">
        <f>MINA(C12:C41)</f>
        <v>65</v>
      </c>
      <c r="D43" s="120">
        <f>(B43+C43)/2</f>
        <v>83.5</v>
      </c>
      <c r="E43" s="120">
        <f>IF(65-D43&gt;0,65-M43,0)</f>
        <v>0</v>
      </c>
      <c r="F43" s="120">
        <f>IF((D43)-65&lt;0,0,(D43)-65)</f>
        <v>18.5</v>
      </c>
      <c r="G43" s="124">
        <f>MAXA(G13:G41)</f>
        <v>0.17</v>
      </c>
      <c r="H43" s="122">
        <f>MAXA(H13:H41)</f>
        <v>0</v>
      </c>
      <c r="I43" s="119">
        <f>MAXA(I12:I41)</f>
        <v>35</v>
      </c>
      <c r="J43" s="123">
        <v>350</v>
      </c>
      <c r="K43" s="9"/>
      <c r="L43" s="9"/>
      <c r="M43" s="9"/>
    </row>
    <row r="44" spans="1:13" ht="18" customHeight="1" x14ac:dyDescent="0.25">
      <c r="A44" s="118" t="s">
        <v>27</v>
      </c>
      <c r="B44" s="120">
        <f>AVERAGEA(B12:B41)</f>
        <v>94.833333333333329</v>
      </c>
      <c r="C44" s="120">
        <f>AVERAGEA(C12:C41)</f>
        <v>72.066666666666663</v>
      </c>
      <c r="D44" s="120">
        <f>(B44+C44)/2</f>
        <v>83.449999999999989</v>
      </c>
      <c r="E44" s="120">
        <f>IF(65-D44&gt;0,65-M44,0)</f>
        <v>0</v>
      </c>
      <c r="F44" s="120">
        <f>IF((D44)-65&lt;0,0,(D44)-65)</f>
        <v>18.449999999999989</v>
      </c>
      <c r="G44" s="124">
        <f>AVERAGEA(G12:G41)</f>
        <v>6.000000000000001E-3</v>
      </c>
      <c r="H44" s="122">
        <f>AVERAGEA(H12:H41)</f>
        <v>0</v>
      </c>
      <c r="I44" s="120">
        <f>AVERAGEA(I12:I41)</f>
        <v>19.633333333333333</v>
      </c>
      <c r="J44" s="132">
        <f>AVERAGE(J12:J41)</f>
        <v>142</v>
      </c>
      <c r="K44" s="9"/>
      <c r="L44" s="9"/>
      <c r="M44" s="9"/>
    </row>
    <row r="45" spans="1:13" ht="18" customHeight="1" x14ac:dyDescent="0.25">
      <c r="A45" s="118" t="s">
        <v>28</v>
      </c>
      <c r="B45" s="119">
        <v>111</v>
      </c>
      <c r="C45" s="119">
        <v>41</v>
      </c>
      <c r="D45" s="120">
        <v>81</v>
      </c>
      <c r="E45" s="120">
        <f>AVERAGEA(E13:E41)</f>
        <v>0</v>
      </c>
      <c r="F45" s="120">
        <f>AVERAGEA(F13:F41)</f>
        <v>18.482758620689655</v>
      </c>
      <c r="G45" s="124">
        <v>3.4</v>
      </c>
      <c r="H45" s="122" t="s">
        <v>25</v>
      </c>
      <c r="I45" s="119">
        <v>7</v>
      </c>
      <c r="J45" s="132">
        <v>160</v>
      </c>
      <c r="K45" s="9"/>
      <c r="L45" s="9"/>
      <c r="M45" s="9"/>
    </row>
    <row r="46" spans="1:13" ht="18" customHeight="1" x14ac:dyDescent="0.25">
      <c r="A46" s="133" t="s">
        <v>29</v>
      </c>
      <c r="B46" s="134"/>
      <c r="C46" s="134"/>
      <c r="D46" s="135"/>
      <c r="E46" s="135"/>
      <c r="F46" s="135"/>
      <c r="G46" s="124">
        <f>(G42-G45)</f>
        <v>-3.2199999999999998</v>
      </c>
      <c r="H46" s="134"/>
      <c r="I46" s="125"/>
      <c r="J46" s="136"/>
      <c r="K46" s="9"/>
      <c r="L46" s="9"/>
      <c r="M46" s="9"/>
    </row>
    <row r="47" spans="1:13" ht="18" customHeight="1" x14ac:dyDescent="0.25">
      <c r="A47" s="216" t="s">
        <v>63</v>
      </c>
      <c r="B47" s="217"/>
      <c r="C47" s="217"/>
      <c r="D47" s="217"/>
      <c r="E47" s="217"/>
      <c r="F47" s="217"/>
      <c r="G47" s="217"/>
      <c r="H47" s="217"/>
      <c r="I47" s="137"/>
      <c r="J47" s="138"/>
      <c r="K47" s="9"/>
      <c r="L47" s="9"/>
      <c r="M47" s="9"/>
    </row>
    <row r="48" spans="1:13" ht="18" customHeight="1" thickBot="1" x14ac:dyDescent="0.3">
      <c r="A48" s="139"/>
      <c r="B48" s="140"/>
      <c r="C48" s="140"/>
      <c r="D48" s="140"/>
      <c r="E48" s="140"/>
      <c r="F48" s="140"/>
      <c r="G48" s="140"/>
      <c r="H48" s="140"/>
      <c r="I48" s="140"/>
      <c r="J48" s="141"/>
      <c r="K48" s="9"/>
      <c r="L48" s="9"/>
      <c r="M48" s="9"/>
    </row>
    <row r="49" spans="1:13" ht="18" customHeight="1" x14ac:dyDescent="0.25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9"/>
      <c r="L49" s="9"/>
      <c r="M49" s="9"/>
    </row>
    <row r="50" spans="1:13" ht="15" x14ac:dyDescent="0.2">
      <c r="A50" s="142"/>
      <c r="B50" s="142"/>
      <c r="C50" s="142"/>
      <c r="D50" s="142"/>
      <c r="E50" s="142"/>
      <c r="F50" s="142"/>
      <c r="G50" s="142"/>
      <c r="H50" s="142"/>
      <c r="I50" s="142"/>
      <c r="J50" s="142"/>
    </row>
    <row r="51" spans="1:13" x14ac:dyDescent="0.2">
      <c r="A51" s="203"/>
      <c r="B51" s="227" t="s">
        <v>31</v>
      </c>
      <c r="C51" s="227"/>
      <c r="D51" s="227"/>
      <c r="E51" s="227"/>
      <c r="F51" s="227"/>
      <c r="G51" s="227" t="s">
        <v>72</v>
      </c>
      <c r="H51" s="227"/>
      <c r="I51" s="227"/>
      <c r="J51" s="203" t="s">
        <v>73</v>
      </c>
    </row>
    <row r="52" spans="1:13" ht="25.5" x14ac:dyDescent="0.2">
      <c r="A52" s="203"/>
      <c r="B52" s="205" t="s">
        <v>66</v>
      </c>
      <c r="C52" s="205" t="s">
        <v>67</v>
      </c>
      <c r="D52" s="203" t="s">
        <v>16</v>
      </c>
      <c r="E52" s="205" t="s">
        <v>69</v>
      </c>
      <c r="F52" s="205" t="s">
        <v>68</v>
      </c>
      <c r="G52" s="205" t="s">
        <v>12</v>
      </c>
      <c r="H52" s="203" t="s">
        <v>16</v>
      </c>
      <c r="I52" s="205" t="s">
        <v>71</v>
      </c>
      <c r="J52" s="205" t="s">
        <v>70</v>
      </c>
    </row>
    <row r="53" spans="1:13" ht="25.5" x14ac:dyDescent="0.2">
      <c r="A53" s="205" t="s">
        <v>64</v>
      </c>
      <c r="B53" s="35">
        <f>MAXA(B11:B41)</f>
        <v>102</v>
      </c>
      <c r="C53" s="40">
        <f>AVERAGEA(B11:B41)</f>
        <v>94.833333333333329</v>
      </c>
      <c r="D53" s="40">
        <f>(B44+C44)/2</f>
        <v>83.449999999999989</v>
      </c>
      <c r="E53" s="40">
        <f>AVERAGEA(C11:C41)</f>
        <v>72.066666666666663</v>
      </c>
      <c r="F53" s="35">
        <f>MINA(C11:C41)</f>
        <v>65</v>
      </c>
      <c r="G53" s="61">
        <f>SUM(G11:G41)</f>
        <v>0.18000000000000002</v>
      </c>
      <c r="H53" s="61">
        <f>AVERAGEA(G11:G41)</f>
        <v>6.000000000000001E-3</v>
      </c>
      <c r="I53" s="61">
        <f>MAXA(G11:G39)</f>
        <v>0.17</v>
      </c>
      <c r="J53" s="206">
        <f>MAXA(I11:I39)</f>
        <v>35</v>
      </c>
    </row>
    <row r="54" spans="1:13" x14ac:dyDescent="0.2">
      <c r="A54" s="203" t="s">
        <v>65</v>
      </c>
      <c r="B54" s="204">
        <v>111</v>
      </c>
      <c r="C54" s="204">
        <v>92</v>
      </c>
      <c r="D54" s="204">
        <v>81</v>
      </c>
      <c r="E54" s="204">
        <v>72</v>
      </c>
      <c r="F54" s="204">
        <v>41</v>
      </c>
      <c r="G54" s="204">
        <v>13.5</v>
      </c>
      <c r="H54" s="204">
        <v>3.4</v>
      </c>
      <c r="I54" s="204">
        <v>8.1</v>
      </c>
      <c r="J54" s="204">
        <v>55</v>
      </c>
    </row>
  </sheetData>
  <mergeCells count="6">
    <mergeCell ref="B51:F51"/>
    <mergeCell ref="G51:I51"/>
    <mergeCell ref="B7:C7"/>
    <mergeCell ref="D7:F7"/>
    <mergeCell ref="D8:F8"/>
    <mergeCell ref="I7:J7"/>
  </mergeCells>
  <phoneticPr fontId="0" type="noConversion"/>
  <conditionalFormatting sqref="F53">
    <cfRule type="cellIs" dxfId="35" priority="1" stopIfTrue="1" operator="lessThan">
      <formula>$F$55</formula>
    </cfRule>
  </conditionalFormatting>
  <conditionalFormatting sqref="B53">
    <cfRule type="cellIs" dxfId="34" priority="2" stopIfTrue="1" operator="greaterThan">
      <formula>$B$54</formula>
    </cfRule>
  </conditionalFormatting>
  <conditionalFormatting sqref="C53">
    <cfRule type="cellIs" dxfId="33" priority="3" stopIfTrue="1" operator="greaterThan">
      <formula>$C$54</formula>
    </cfRule>
  </conditionalFormatting>
  <conditionalFormatting sqref="D53">
    <cfRule type="cellIs" dxfId="32" priority="4" stopIfTrue="1" operator="lessThanOrEqual">
      <formula>$D$54</formula>
    </cfRule>
    <cfRule type="cellIs" dxfId="31" priority="5" stopIfTrue="1" operator="greaterThan">
      <formula>$D$54</formula>
    </cfRule>
  </conditionalFormatting>
  <conditionalFormatting sqref="G53">
    <cfRule type="cellIs" dxfId="30" priority="6" stopIfTrue="1" operator="greaterThan">
      <formula>$G$54</formula>
    </cfRule>
  </conditionalFormatting>
  <conditionalFormatting sqref="I53">
    <cfRule type="cellIs" dxfId="29" priority="7" stopIfTrue="1" operator="greaterThan">
      <formula>$I$54</formula>
    </cfRule>
  </conditionalFormatting>
  <conditionalFormatting sqref="J53">
    <cfRule type="cellIs" dxfId="28" priority="8" stopIfTrue="1" operator="greaterThan">
      <formula>$J$54</formula>
    </cfRule>
  </conditionalFormatting>
  <conditionalFormatting sqref="E53">
    <cfRule type="cellIs" dxfId="27" priority="9" stopIfTrue="1" operator="greaterThanOrEqual">
      <formula>$E$54</formula>
    </cfRule>
  </conditionalFormatting>
  <pageMargins left="1.39" right="0.5" top="1.44" bottom="0.3" header="1.3" footer="0.72"/>
  <pageSetup scale="73" pageOrder="overThenDown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8C59-64F6-424E-9C4D-4885CFD8D94D}">
  <sheetPr codeName="Sheet10">
    <pageSetUpPr fitToPage="1"/>
  </sheetPr>
  <dimension ref="A1:M55"/>
  <sheetViews>
    <sheetView topLeftCell="A10" zoomScaleNormal="100" workbookViewId="0">
      <selection activeCell="J37" sqref="J37"/>
    </sheetView>
  </sheetViews>
  <sheetFormatPr defaultRowHeight="12.75" x14ac:dyDescent="0.2"/>
  <cols>
    <col min="5" max="6" width="11" bestFit="1" customWidth="1"/>
    <col min="10" max="10" width="11.85546875" customWidth="1"/>
  </cols>
  <sheetData>
    <row r="1" spans="1:13" x14ac:dyDescent="0.2">
      <c r="A1" s="1"/>
      <c r="B1" s="2"/>
      <c r="C1" s="2"/>
      <c r="D1" s="2"/>
      <c r="E1" s="2"/>
      <c r="F1" s="2"/>
      <c r="G1" s="2"/>
      <c r="H1" s="2"/>
      <c r="I1" s="2"/>
      <c r="J1" s="3"/>
    </row>
    <row r="2" spans="1:13" ht="18" x14ac:dyDescent="0.25">
      <c r="A2" s="96" t="s">
        <v>79</v>
      </c>
      <c r="B2" s="97"/>
      <c r="C2" s="98"/>
      <c r="D2" s="99"/>
      <c r="E2" s="99"/>
      <c r="F2" s="99"/>
      <c r="G2" s="99"/>
      <c r="H2" s="99"/>
      <c r="I2" s="99"/>
      <c r="J2" s="100"/>
      <c r="K2" s="4"/>
      <c r="L2" s="4"/>
      <c r="M2" s="4"/>
    </row>
    <row r="3" spans="1:13" ht="18" x14ac:dyDescent="0.25">
      <c r="A3" s="96" t="s">
        <v>0</v>
      </c>
      <c r="B3" s="97"/>
      <c r="C3" s="98"/>
      <c r="D3" s="99"/>
      <c r="E3" s="99"/>
      <c r="F3" s="99"/>
      <c r="G3" s="99"/>
      <c r="H3" s="99"/>
      <c r="I3" s="97"/>
      <c r="J3" s="100"/>
      <c r="K3" s="4"/>
      <c r="L3" s="4"/>
      <c r="M3" s="4"/>
    </row>
    <row r="4" spans="1:13" ht="18.75" x14ac:dyDescent="0.3">
      <c r="A4" s="101" t="s">
        <v>1</v>
      </c>
      <c r="B4" s="97"/>
      <c r="C4" s="98"/>
      <c r="D4" s="99"/>
      <c r="E4" s="99"/>
      <c r="F4" s="102"/>
      <c r="G4" s="99"/>
      <c r="H4" s="99"/>
      <c r="I4" s="97"/>
      <c r="J4" s="100"/>
      <c r="K4" s="4"/>
      <c r="L4" s="4"/>
      <c r="M4" s="4"/>
    </row>
    <row r="5" spans="1:13" ht="18" x14ac:dyDescent="0.25">
      <c r="A5" s="103" t="s">
        <v>90</v>
      </c>
      <c r="B5" s="99"/>
      <c r="C5" s="104"/>
      <c r="D5" s="99"/>
      <c r="E5" s="99"/>
      <c r="F5" s="99"/>
      <c r="G5" s="99"/>
      <c r="H5" s="99"/>
      <c r="I5" s="99"/>
      <c r="J5" s="100"/>
      <c r="K5" s="4"/>
      <c r="L5" s="58"/>
      <c r="M5" s="4"/>
    </row>
    <row r="6" spans="1:13" ht="18.75" thickBot="1" x14ac:dyDescent="0.3">
      <c r="A6" s="163"/>
      <c r="B6" s="164"/>
      <c r="C6" s="164"/>
      <c r="D6" s="164"/>
      <c r="E6" s="164"/>
      <c r="F6" s="164"/>
      <c r="G6" s="164"/>
      <c r="H6" s="164"/>
      <c r="I6" s="164"/>
      <c r="J6" s="165"/>
      <c r="K6" s="58"/>
      <c r="L6" s="58"/>
      <c r="M6" s="4"/>
    </row>
    <row r="7" spans="1:13" ht="13.5" x14ac:dyDescent="0.25">
      <c r="A7" s="82"/>
      <c r="B7" s="83" t="s">
        <v>2</v>
      </c>
      <c r="C7" s="84"/>
      <c r="D7" s="84"/>
      <c r="E7" s="84"/>
      <c r="F7" s="84"/>
      <c r="G7" s="85" t="s">
        <v>3</v>
      </c>
      <c r="H7" s="84"/>
      <c r="I7" s="83" t="s">
        <v>60</v>
      </c>
      <c r="J7" s="86"/>
      <c r="K7" s="16"/>
      <c r="L7" s="16"/>
      <c r="M7" s="9"/>
    </row>
    <row r="8" spans="1:13" ht="13.5" x14ac:dyDescent="0.25">
      <c r="A8" s="82"/>
      <c r="B8" s="84"/>
      <c r="C8" s="84"/>
      <c r="D8" s="83" t="s">
        <v>5</v>
      </c>
      <c r="E8" s="168"/>
      <c r="F8" s="168"/>
      <c r="G8" s="83" t="s">
        <v>6</v>
      </c>
      <c r="H8" s="83" t="s">
        <v>7</v>
      </c>
      <c r="I8" s="168"/>
      <c r="J8" s="169"/>
      <c r="K8" s="9"/>
      <c r="L8" s="9"/>
      <c r="M8" s="9"/>
    </row>
    <row r="9" spans="1:13" ht="13.5" x14ac:dyDescent="0.25">
      <c r="A9" s="82"/>
      <c r="B9" s="85" t="s">
        <v>8</v>
      </c>
      <c r="C9" s="84"/>
      <c r="D9" s="83" t="s">
        <v>9</v>
      </c>
      <c r="E9" s="168"/>
      <c r="F9" s="168"/>
      <c r="G9" s="83" t="s">
        <v>10</v>
      </c>
      <c r="H9" s="83" t="s">
        <v>11</v>
      </c>
      <c r="I9" s="83" t="s">
        <v>12</v>
      </c>
      <c r="J9" s="92" t="s">
        <v>13</v>
      </c>
      <c r="K9" s="9"/>
      <c r="L9" s="9"/>
      <c r="M9" s="9"/>
    </row>
    <row r="10" spans="1:13" ht="13.5" x14ac:dyDescent="0.25">
      <c r="A10" s="91" t="s">
        <v>14</v>
      </c>
      <c r="B10" s="83" t="s">
        <v>12</v>
      </c>
      <c r="C10" s="83" t="s">
        <v>15</v>
      </c>
      <c r="D10" s="83" t="s">
        <v>16</v>
      </c>
      <c r="E10" s="83" t="s">
        <v>17</v>
      </c>
      <c r="F10" s="83" t="s">
        <v>18</v>
      </c>
      <c r="G10" s="83" t="s">
        <v>19</v>
      </c>
      <c r="H10" s="143" t="s">
        <v>20</v>
      </c>
      <c r="I10" s="143" t="s">
        <v>21</v>
      </c>
      <c r="J10" s="92" t="s">
        <v>22</v>
      </c>
      <c r="K10" s="10" t="s">
        <v>23</v>
      </c>
      <c r="L10" s="9"/>
      <c r="M10" s="9"/>
    </row>
    <row r="11" spans="1:13" ht="14.25" thickBot="1" x14ac:dyDescent="0.3">
      <c r="A11" s="30"/>
      <c r="B11" s="31"/>
      <c r="C11" s="31"/>
      <c r="D11" s="31"/>
      <c r="E11" s="31"/>
      <c r="F11" s="31"/>
      <c r="G11" s="32"/>
      <c r="H11" s="32"/>
      <c r="I11" s="32"/>
      <c r="J11" s="144"/>
      <c r="K11" s="60"/>
      <c r="L11" s="59"/>
      <c r="M11" s="9"/>
    </row>
    <row r="12" spans="1:13" ht="13.5" x14ac:dyDescent="0.25">
      <c r="A12" s="39">
        <v>1</v>
      </c>
      <c r="B12" s="35">
        <v>96</v>
      </c>
      <c r="C12" s="35">
        <v>66</v>
      </c>
      <c r="D12" s="40">
        <f t="shared" ref="D12:D42" si="0">(B12+C12)/2</f>
        <v>81</v>
      </c>
      <c r="E12" s="40">
        <f t="shared" ref="E12:E42" si="1">IF(65-D12&gt;0,65-M12,0)</f>
        <v>0</v>
      </c>
      <c r="F12" s="40">
        <f t="shared" ref="F12:F42" si="2">IF((D12)-65&lt;0,0,(D12)-65)</f>
        <v>16</v>
      </c>
      <c r="G12" s="146">
        <v>0</v>
      </c>
      <c r="H12" s="41">
        <v>0</v>
      </c>
      <c r="I12" s="35">
        <v>12</v>
      </c>
      <c r="J12" s="147">
        <v>220</v>
      </c>
      <c r="K12" s="9"/>
      <c r="L12" s="16"/>
      <c r="M12" s="15">
        <f t="shared" ref="M12:M42" si="3">IF(D12=0,65,D12)</f>
        <v>81</v>
      </c>
    </row>
    <row r="13" spans="1:13" ht="13.5" x14ac:dyDescent="0.25">
      <c r="A13" s="39">
        <v>2</v>
      </c>
      <c r="B13" s="35">
        <v>96</v>
      </c>
      <c r="C13" s="35">
        <v>66</v>
      </c>
      <c r="D13" s="40">
        <f t="shared" si="0"/>
        <v>81</v>
      </c>
      <c r="E13" s="40">
        <f t="shared" si="1"/>
        <v>0</v>
      </c>
      <c r="F13" s="40">
        <f t="shared" si="2"/>
        <v>16</v>
      </c>
      <c r="G13" s="61">
        <v>0</v>
      </c>
      <c r="H13" s="41">
        <v>0</v>
      </c>
      <c r="I13" s="35">
        <v>10</v>
      </c>
      <c r="J13" s="147">
        <v>120</v>
      </c>
      <c r="K13" s="9"/>
      <c r="L13" s="9"/>
      <c r="M13" s="15">
        <f t="shared" si="3"/>
        <v>81</v>
      </c>
    </row>
    <row r="14" spans="1:13" ht="13.5" x14ac:dyDescent="0.25">
      <c r="A14" s="39">
        <v>3</v>
      </c>
      <c r="B14" s="35">
        <v>95</v>
      </c>
      <c r="C14" s="35">
        <v>69</v>
      </c>
      <c r="D14" s="40">
        <f t="shared" si="0"/>
        <v>82</v>
      </c>
      <c r="E14" s="40">
        <f t="shared" si="1"/>
        <v>0</v>
      </c>
      <c r="F14" s="40">
        <f t="shared" si="2"/>
        <v>17</v>
      </c>
      <c r="G14" s="61">
        <v>0</v>
      </c>
      <c r="H14" s="41">
        <v>0</v>
      </c>
      <c r="I14" s="35">
        <v>13</v>
      </c>
      <c r="J14" s="147">
        <v>30</v>
      </c>
      <c r="K14" s="9"/>
      <c r="L14" s="9"/>
      <c r="M14" s="15">
        <f t="shared" si="3"/>
        <v>82</v>
      </c>
    </row>
    <row r="15" spans="1:13" ht="13.5" x14ac:dyDescent="0.25">
      <c r="A15" s="39">
        <v>4</v>
      </c>
      <c r="B15" s="35">
        <v>92</v>
      </c>
      <c r="C15" s="35">
        <v>70</v>
      </c>
      <c r="D15" s="40">
        <f t="shared" si="0"/>
        <v>81</v>
      </c>
      <c r="E15" s="40">
        <f t="shared" si="1"/>
        <v>0</v>
      </c>
      <c r="F15" s="40">
        <f t="shared" si="2"/>
        <v>16</v>
      </c>
      <c r="G15" s="61">
        <v>0</v>
      </c>
      <c r="H15" s="41">
        <v>0</v>
      </c>
      <c r="I15" s="35">
        <v>20</v>
      </c>
      <c r="J15" s="147">
        <v>140</v>
      </c>
      <c r="K15" s="9"/>
      <c r="L15" s="9"/>
      <c r="M15" s="15">
        <f t="shared" si="3"/>
        <v>81</v>
      </c>
    </row>
    <row r="16" spans="1:13" ht="13.5" x14ac:dyDescent="0.25">
      <c r="A16" s="39">
        <v>5</v>
      </c>
      <c r="B16" s="35">
        <v>93</v>
      </c>
      <c r="C16" s="35">
        <v>69</v>
      </c>
      <c r="D16" s="40">
        <f t="shared" si="0"/>
        <v>81</v>
      </c>
      <c r="E16" s="40">
        <f t="shared" si="1"/>
        <v>0</v>
      </c>
      <c r="F16" s="40">
        <f t="shared" si="2"/>
        <v>16</v>
      </c>
      <c r="G16" s="61">
        <v>0</v>
      </c>
      <c r="H16" s="41">
        <v>0</v>
      </c>
      <c r="I16" s="35">
        <v>15</v>
      </c>
      <c r="J16" s="147">
        <v>160</v>
      </c>
      <c r="K16" s="9"/>
      <c r="L16" s="9"/>
      <c r="M16" s="15">
        <f t="shared" si="3"/>
        <v>81</v>
      </c>
    </row>
    <row r="17" spans="1:13" ht="13.5" x14ac:dyDescent="0.25">
      <c r="A17" s="39">
        <v>6</v>
      </c>
      <c r="B17" s="35">
        <v>93</v>
      </c>
      <c r="C17" s="35">
        <v>72</v>
      </c>
      <c r="D17" s="40">
        <f t="shared" si="0"/>
        <v>82.5</v>
      </c>
      <c r="E17" s="40">
        <f t="shared" si="1"/>
        <v>0</v>
      </c>
      <c r="F17" s="40">
        <f t="shared" si="2"/>
        <v>17.5</v>
      </c>
      <c r="G17" s="61">
        <v>0</v>
      </c>
      <c r="H17" s="41">
        <v>0</v>
      </c>
      <c r="I17" s="35">
        <v>19</v>
      </c>
      <c r="J17" s="147">
        <v>150</v>
      </c>
      <c r="K17" s="9"/>
      <c r="L17" s="9"/>
      <c r="M17" s="15">
        <f t="shared" si="3"/>
        <v>82.5</v>
      </c>
    </row>
    <row r="18" spans="1:13" ht="13.5" x14ac:dyDescent="0.25">
      <c r="A18" s="39">
        <v>7</v>
      </c>
      <c r="B18" s="38">
        <v>96</v>
      </c>
      <c r="C18" s="38">
        <v>76</v>
      </c>
      <c r="D18" s="40">
        <f t="shared" si="0"/>
        <v>86</v>
      </c>
      <c r="E18" s="40">
        <f t="shared" si="1"/>
        <v>0</v>
      </c>
      <c r="F18" s="40">
        <f t="shared" si="2"/>
        <v>21</v>
      </c>
      <c r="G18" s="61">
        <v>0</v>
      </c>
      <c r="H18" s="41">
        <v>0</v>
      </c>
      <c r="I18" s="38">
        <v>22</v>
      </c>
      <c r="J18" s="148">
        <v>150</v>
      </c>
      <c r="K18" s="9"/>
      <c r="L18" s="9"/>
      <c r="M18" s="15">
        <f t="shared" si="3"/>
        <v>86</v>
      </c>
    </row>
    <row r="19" spans="1:13" ht="13.5" x14ac:dyDescent="0.25">
      <c r="A19" s="39">
        <v>8</v>
      </c>
      <c r="B19" s="38">
        <v>95</v>
      </c>
      <c r="C19" s="38">
        <v>74</v>
      </c>
      <c r="D19" s="40">
        <f t="shared" si="0"/>
        <v>84.5</v>
      </c>
      <c r="E19" s="40">
        <f t="shared" si="1"/>
        <v>0</v>
      </c>
      <c r="F19" s="40">
        <f t="shared" si="2"/>
        <v>19.5</v>
      </c>
      <c r="G19" s="61">
        <v>0</v>
      </c>
      <c r="H19" s="41">
        <v>0</v>
      </c>
      <c r="I19" s="38">
        <v>18</v>
      </c>
      <c r="J19" s="148">
        <v>70</v>
      </c>
      <c r="K19" s="9"/>
      <c r="L19" s="9"/>
      <c r="M19" s="15">
        <f t="shared" si="3"/>
        <v>84.5</v>
      </c>
    </row>
    <row r="20" spans="1:13" ht="13.5" x14ac:dyDescent="0.25">
      <c r="A20" s="39">
        <v>9</v>
      </c>
      <c r="B20" s="38">
        <v>93</v>
      </c>
      <c r="C20" s="38">
        <v>76</v>
      </c>
      <c r="D20" s="40">
        <f t="shared" si="0"/>
        <v>84.5</v>
      </c>
      <c r="E20" s="40">
        <f t="shared" si="1"/>
        <v>0</v>
      </c>
      <c r="F20" s="40">
        <f t="shared" si="2"/>
        <v>19.5</v>
      </c>
      <c r="G20" s="61">
        <v>0</v>
      </c>
      <c r="H20" s="41">
        <v>0</v>
      </c>
      <c r="I20" s="38">
        <v>21</v>
      </c>
      <c r="J20" s="148">
        <v>50</v>
      </c>
      <c r="K20" s="9"/>
      <c r="L20" s="9"/>
      <c r="M20" s="15">
        <f t="shared" si="3"/>
        <v>84.5</v>
      </c>
    </row>
    <row r="21" spans="1:13" ht="13.5" x14ac:dyDescent="0.25">
      <c r="A21" s="39">
        <v>10</v>
      </c>
      <c r="B21" s="38">
        <v>93</v>
      </c>
      <c r="C21" s="38">
        <v>70</v>
      </c>
      <c r="D21" s="40">
        <f t="shared" si="0"/>
        <v>81.5</v>
      </c>
      <c r="E21" s="40">
        <f t="shared" si="1"/>
        <v>0</v>
      </c>
      <c r="F21" s="40">
        <f t="shared" si="2"/>
        <v>16.5</v>
      </c>
      <c r="G21" s="61">
        <v>0</v>
      </c>
      <c r="H21" s="41">
        <v>0</v>
      </c>
      <c r="I21" s="38">
        <v>16</v>
      </c>
      <c r="J21" s="148">
        <v>90</v>
      </c>
      <c r="K21" s="9"/>
      <c r="L21" s="9"/>
      <c r="M21" s="15">
        <f t="shared" si="3"/>
        <v>81.5</v>
      </c>
    </row>
    <row r="22" spans="1:13" ht="13.5" x14ac:dyDescent="0.25">
      <c r="A22" s="39">
        <v>11</v>
      </c>
      <c r="B22" s="38">
        <v>94</v>
      </c>
      <c r="C22" s="38">
        <v>65</v>
      </c>
      <c r="D22" s="40">
        <f t="shared" si="0"/>
        <v>79.5</v>
      </c>
      <c r="E22" s="40">
        <f t="shared" si="1"/>
        <v>0</v>
      </c>
      <c r="F22" s="40">
        <f t="shared" si="2"/>
        <v>14.5</v>
      </c>
      <c r="G22" s="61">
        <v>0</v>
      </c>
      <c r="H22" s="41">
        <v>0</v>
      </c>
      <c r="I22" s="38">
        <v>16</v>
      </c>
      <c r="J22" s="148">
        <v>140</v>
      </c>
      <c r="K22" s="9"/>
      <c r="L22" s="9"/>
      <c r="M22" s="15">
        <f t="shared" si="3"/>
        <v>79.5</v>
      </c>
    </row>
    <row r="23" spans="1:13" ht="13.5" x14ac:dyDescent="0.25">
      <c r="A23" s="39">
        <v>12</v>
      </c>
      <c r="B23" s="38">
        <v>92</v>
      </c>
      <c r="C23" s="38">
        <v>63</v>
      </c>
      <c r="D23" s="40">
        <f t="shared" si="0"/>
        <v>77.5</v>
      </c>
      <c r="E23" s="40">
        <f t="shared" si="1"/>
        <v>0</v>
      </c>
      <c r="F23" s="40">
        <f t="shared" si="2"/>
        <v>12.5</v>
      </c>
      <c r="G23" s="61">
        <v>0</v>
      </c>
      <c r="H23" s="41">
        <v>0</v>
      </c>
      <c r="I23" s="38">
        <v>20</v>
      </c>
      <c r="J23" s="148">
        <v>140</v>
      </c>
      <c r="K23" s="9"/>
      <c r="L23" s="9"/>
      <c r="M23" s="15">
        <f t="shared" si="3"/>
        <v>77.5</v>
      </c>
    </row>
    <row r="24" spans="1:13" ht="13.5" x14ac:dyDescent="0.25">
      <c r="A24" s="39">
        <v>13</v>
      </c>
      <c r="B24" s="38">
        <v>91</v>
      </c>
      <c r="C24" s="38">
        <v>66</v>
      </c>
      <c r="D24" s="40">
        <f t="shared" si="0"/>
        <v>78.5</v>
      </c>
      <c r="E24" s="40">
        <f t="shared" si="1"/>
        <v>0</v>
      </c>
      <c r="F24" s="40">
        <f t="shared" si="2"/>
        <v>13.5</v>
      </c>
      <c r="G24" s="61">
        <v>0</v>
      </c>
      <c r="H24" s="41">
        <v>0</v>
      </c>
      <c r="I24" s="38">
        <v>18</v>
      </c>
      <c r="J24" s="148">
        <v>160</v>
      </c>
      <c r="K24" s="9"/>
      <c r="L24" s="9"/>
      <c r="M24" s="15">
        <f t="shared" si="3"/>
        <v>78.5</v>
      </c>
    </row>
    <row r="25" spans="1:13" ht="13.5" x14ac:dyDescent="0.25">
      <c r="A25" s="39">
        <v>14</v>
      </c>
      <c r="B25" s="38">
        <v>90</v>
      </c>
      <c r="C25" s="38">
        <v>67</v>
      </c>
      <c r="D25" s="40">
        <f t="shared" si="0"/>
        <v>78.5</v>
      </c>
      <c r="E25" s="40">
        <f t="shared" si="1"/>
        <v>0</v>
      </c>
      <c r="F25" s="40">
        <f t="shared" si="2"/>
        <v>13.5</v>
      </c>
      <c r="G25" s="61">
        <v>0</v>
      </c>
      <c r="H25" s="41">
        <v>0</v>
      </c>
      <c r="I25" s="38">
        <v>18</v>
      </c>
      <c r="J25" s="148">
        <v>80</v>
      </c>
      <c r="K25" s="9"/>
      <c r="L25" s="9"/>
      <c r="M25" s="15">
        <f t="shared" si="3"/>
        <v>78.5</v>
      </c>
    </row>
    <row r="26" spans="1:13" ht="13.5" x14ac:dyDescent="0.25">
      <c r="A26" s="39">
        <v>15</v>
      </c>
      <c r="B26" s="38">
        <v>92</v>
      </c>
      <c r="C26" s="38">
        <v>67</v>
      </c>
      <c r="D26" s="40">
        <f t="shared" si="0"/>
        <v>79.5</v>
      </c>
      <c r="E26" s="40">
        <f t="shared" si="1"/>
        <v>0</v>
      </c>
      <c r="F26" s="40">
        <f t="shared" si="2"/>
        <v>14.5</v>
      </c>
      <c r="G26" s="61">
        <v>0</v>
      </c>
      <c r="H26" s="41">
        <v>0</v>
      </c>
      <c r="I26" s="38">
        <v>17</v>
      </c>
      <c r="J26" s="148">
        <v>110</v>
      </c>
      <c r="K26" s="9"/>
      <c r="L26" s="9"/>
      <c r="M26" s="15">
        <f t="shared" si="3"/>
        <v>79.5</v>
      </c>
    </row>
    <row r="27" spans="1:13" ht="13.5" x14ac:dyDescent="0.25">
      <c r="A27" s="39">
        <v>16</v>
      </c>
      <c r="B27" s="38">
        <v>89</v>
      </c>
      <c r="C27" s="38">
        <v>68</v>
      </c>
      <c r="D27" s="40">
        <f t="shared" si="0"/>
        <v>78.5</v>
      </c>
      <c r="E27" s="40">
        <f t="shared" si="1"/>
        <v>0</v>
      </c>
      <c r="F27" s="40">
        <f t="shared" si="2"/>
        <v>13.5</v>
      </c>
      <c r="G27" s="61">
        <v>0</v>
      </c>
      <c r="H27" s="41">
        <v>0</v>
      </c>
      <c r="I27" s="38">
        <v>21</v>
      </c>
      <c r="J27" s="148">
        <v>150</v>
      </c>
      <c r="K27" s="9"/>
      <c r="L27" s="9"/>
      <c r="M27" s="15">
        <f t="shared" si="3"/>
        <v>78.5</v>
      </c>
    </row>
    <row r="28" spans="1:13" ht="13.5" x14ac:dyDescent="0.25">
      <c r="A28" s="39">
        <v>17</v>
      </c>
      <c r="B28" s="38">
        <v>93</v>
      </c>
      <c r="C28" s="38">
        <v>71</v>
      </c>
      <c r="D28" s="40">
        <f t="shared" si="0"/>
        <v>82</v>
      </c>
      <c r="E28" s="40">
        <f t="shared" si="1"/>
        <v>0</v>
      </c>
      <c r="F28" s="40">
        <f t="shared" si="2"/>
        <v>17</v>
      </c>
      <c r="G28" s="61">
        <v>0</v>
      </c>
      <c r="H28" s="41">
        <v>0</v>
      </c>
      <c r="I28" s="38">
        <v>23</v>
      </c>
      <c r="J28" s="148">
        <v>160</v>
      </c>
      <c r="K28" s="9"/>
      <c r="L28" s="9"/>
      <c r="M28" s="15">
        <f t="shared" si="3"/>
        <v>82</v>
      </c>
    </row>
    <row r="29" spans="1:13" ht="13.5" x14ac:dyDescent="0.25">
      <c r="A29" s="39">
        <v>18</v>
      </c>
      <c r="B29" s="38">
        <v>95</v>
      </c>
      <c r="C29" s="38">
        <v>73</v>
      </c>
      <c r="D29" s="40">
        <f t="shared" si="0"/>
        <v>84</v>
      </c>
      <c r="E29" s="40">
        <f t="shared" si="1"/>
        <v>0</v>
      </c>
      <c r="F29" s="40">
        <f t="shared" si="2"/>
        <v>19</v>
      </c>
      <c r="G29" s="61">
        <v>0</v>
      </c>
      <c r="H29" s="41">
        <v>0</v>
      </c>
      <c r="I29" s="38">
        <v>21</v>
      </c>
      <c r="J29" s="148">
        <v>200</v>
      </c>
      <c r="K29" s="9"/>
      <c r="L29" s="9"/>
      <c r="M29" s="15">
        <f t="shared" si="3"/>
        <v>84</v>
      </c>
    </row>
    <row r="30" spans="1:13" ht="13.5" x14ac:dyDescent="0.25">
      <c r="A30" s="39">
        <v>19</v>
      </c>
      <c r="B30" s="38">
        <v>89</v>
      </c>
      <c r="C30" s="38">
        <v>63</v>
      </c>
      <c r="D30" s="40">
        <f t="shared" si="0"/>
        <v>76</v>
      </c>
      <c r="E30" s="40">
        <f t="shared" si="1"/>
        <v>0</v>
      </c>
      <c r="F30" s="40">
        <f t="shared" si="2"/>
        <v>11</v>
      </c>
      <c r="G30" s="61">
        <v>0</v>
      </c>
      <c r="H30" s="41">
        <v>0</v>
      </c>
      <c r="I30" s="38">
        <v>25</v>
      </c>
      <c r="J30" s="148">
        <v>10</v>
      </c>
      <c r="K30" s="9"/>
      <c r="L30" s="9"/>
      <c r="M30" s="15">
        <f t="shared" si="3"/>
        <v>76</v>
      </c>
    </row>
    <row r="31" spans="1:13" ht="13.5" x14ac:dyDescent="0.25">
      <c r="A31" s="39">
        <v>20</v>
      </c>
      <c r="B31" s="38">
        <v>96</v>
      </c>
      <c r="C31" s="38">
        <v>63</v>
      </c>
      <c r="D31" s="40">
        <f t="shared" si="0"/>
        <v>79.5</v>
      </c>
      <c r="E31" s="40">
        <f t="shared" si="1"/>
        <v>0</v>
      </c>
      <c r="F31" s="40">
        <f t="shared" si="2"/>
        <v>14.5</v>
      </c>
      <c r="G31" s="61">
        <v>0</v>
      </c>
      <c r="H31" s="41">
        <v>0</v>
      </c>
      <c r="I31" s="38">
        <v>27</v>
      </c>
      <c r="J31" s="148">
        <v>210</v>
      </c>
      <c r="K31" s="9"/>
      <c r="L31" s="9"/>
      <c r="M31" s="15">
        <f t="shared" si="3"/>
        <v>79.5</v>
      </c>
    </row>
    <row r="32" spans="1:13" ht="13.5" x14ac:dyDescent="0.25">
      <c r="A32" s="39">
        <v>21</v>
      </c>
      <c r="B32" s="38">
        <v>91</v>
      </c>
      <c r="C32" s="38">
        <v>69</v>
      </c>
      <c r="D32" s="40">
        <f t="shared" si="0"/>
        <v>80</v>
      </c>
      <c r="E32" s="40">
        <f t="shared" si="1"/>
        <v>0</v>
      </c>
      <c r="F32" s="40">
        <f t="shared" si="2"/>
        <v>15</v>
      </c>
      <c r="G32" s="61">
        <v>0</v>
      </c>
      <c r="H32" s="41">
        <v>0</v>
      </c>
      <c r="I32" s="38">
        <v>18</v>
      </c>
      <c r="J32" s="148">
        <v>50</v>
      </c>
      <c r="K32" s="9"/>
      <c r="L32" s="9"/>
      <c r="M32" s="15">
        <f t="shared" si="3"/>
        <v>80</v>
      </c>
    </row>
    <row r="33" spans="1:13" ht="13.5" x14ac:dyDescent="0.25">
      <c r="A33" s="39">
        <v>22</v>
      </c>
      <c r="B33" s="38">
        <v>89</v>
      </c>
      <c r="C33" s="38">
        <v>70</v>
      </c>
      <c r="D33" s="40">
        <f t="shared" si="0"/>
        <v>79.5</v>
      </c>
      <c r="E33" s="40">
        <f t="shared" si="1"/>
        <v>0</v>
      </c>
      <c r="F33" s="40">
        <f t="shared" si="2"/>
        <v>14.5</v>
      </c>
      <c r="G33" s="61">
        <v>0</v>
      </c>
      <c r="H33" s="41">
        <v>0</v>
      </c>
      <c r="I33" s="38">
        <v>19</v>
      </c>
      <c r="J33" s="148">
        <v>120</v>
      </c>
      <c r="K33" s="9"/>
      <c r="L33" s="9"/>
      <c r="M33" s="15">
        <f t="shared" si="3"/>
        <v>79.5</v>
      </c>
    </row>
    <row r="34" spans="1:13" ht="13.5" x14ac:dyDescent="0.25">
      <c r="A34" s="39">
        <v>23</v>
      </c>
      <c r="B34" s="38">
        <v>93</v>
      </c>
      <c r="C34" s="38">
        <v>74</v>
      </c>
      <c r="D34" s="40">
        <f t="shared" si="0"/>
        <v>83.5</v>
      </c>
      <c r="E34" s="40">
        <f t="shared" si="1"/>
        <v>0</v>
      </c>
      <c r="F34" s="40">
        <f t="shared" si="2"/>
        <v>18.5</v>
      </c>
      <c r="G34" s="61">
        <v>0</v>
      </c>
      <c r="H34" s="41">
        <v>0</v>
      </c>
      <c r="I34" s="38">
        <v>21</v>
      </c>
      <c r="J34" s="148">
        <v>140</v>
      </c>
      <c r="K34" s="9"/>
      <c r="L34" s="9"/>
      <c r="M34" s="15">
        <f t="shared" si="3"/>
        <v>83.5</v>
      </c>
    </row>
    <row r="35" spans="1:13" ht="13.5" x14ac:dyDescent="0.25">
      <c r="A35" s="39">
        <v>24</v>
      </c>
      <c r="B35" s="38">
        <v>91</v>
      </c>
      <c r="C35" s="38">
        <v>63</v>
      </c>
      <c r="D35" s="40">
        <f t="shared" si="0"/>
        <v>77</v>
      </c>
      <c r="E35" s="40">
        <f t="shared" si="1"/>
        <v>0</v>
      </c>
      <c r="F35" s="40">
        <f t="shared" si="2"/>
        <v>12</v>
      </c>
      <c r="G35" s="61">
        <v>0.45</v>
      </c>
      <c r="H35" s="41">
        <v>0</v>
      </c>
      <c r="I35" s="38">
        <v>32</v>
      </c>
      <c r="J35" s="148">
        <v>300</v>
      </c>
      <c r="K35" s="9"/>
      <c r="L35" s="9"/>
      <c r="M35" s="15">
        <f t="shared" si="3"/>
        <v>77</v>
      </c>
    </row>
    <row r="36" spans="1:13" ht="13.5" x14ac:dyDescent="0.25">
      <c r="A36" s="39">
        <v>25</v>
      </c>
      <c r="B36" s="38">
        <v>85</v>
      </c>
      <c r="C36" s="38">
        <v>63</v>
      </c>
      <c r="D36" s="40">
        <f t="shared" si="0"/>
        <v>74</v>
      </c>
      <c r="E36" s="40">
        <f t="shared" si="1"/>
        <v>0</v>
      </c>
      <c r="F36" s="40">
        <f t="shared" si="2"/>
        <v>9</v>
      </c>
      <c r="G36" s="61">
        <v>1.03</v>
      </c>
      <c r="H36" s="41">
        <v>0</v>
      </c>
      <c r="I36" s="38">
        <v>20</v>
      </c>
      <c r="J36" s="148">
        <v>160</v>
      </c>
      <c r="K36" s="9"/>
      <c r="L36" s="9"/>
      <c r="M36" s="15">
        <f t="shared" si="3"/>
        <v>74</v>
      </c>
    </row>
    <row r="37" spans="1:13" ht="13.5" x14ac:dyDescent="0.25">
      <c r="A37" s="39">
        <v>26</v>
      </c>
      <c r="B37" s="38">
        <v>89</v>
      </c>
      <c r="C37" s="38">
        <v>65</v>
      </c>
      <c r="D37" s="40">
        <f t="shared" si="0"/>
        <v>77</v>
      </c>
      <c r="E37" s="40">
        <f t="shared" si="1"/>
        <v>0</v>
      </c>
      <c r="F37" s="40">
        <f t="shared" si="2"/>
        <v>12</v>
      </c>
      <c r="G37" s="61">
        <v>0</v>
      </c>
      <c r="H37" s="41">
        <v>0</v>
      </c>
      <c r="I37" s="38">
        <v>10</v>
      </c>
      <c r="J37" s="148">
        <v>300</v>
      </c>
      <c r="K37" s="9"/>
      <c r="L37" s="9"/>
      <c r="M37" s="15">
        <f t="shared" si="3"/>
        <v>77</v>
      </c>
    </row>
    <row r="38" spans="1:13" ht="13.5" x14ac:dyDescent="0.25">
      <c r="A38" s="39">
        <v>27</v>
      </c>
      <c r="B38" s="38">
        <v>90</v>
      </c>
      <c r="C38" s="38">
        <v>64</v>
      </c>
      <c r="D38" s="40">
        <f t="shared" si="0"/>
        <v>77</v>
      </c>
      <c r="E38" s="40">
        <f t="shared" si="1"/>
        <v>0</v>
      </c>
      <c r="F38" s="40">
        <f t="shared" si="2"/>
        <v>12</v>
      </c>
      <c r="G38" s="61">
        <v>0</v>
      </c>
      <c r="H38" s="41">
        <v>0</v>
      </c>
      <c r="I38" s="38">
        <v>18</v>
      </c>
      <c r="J38" s="149">
        <v>140</v>
      </c>
      <c r="K38" s="9"/>
      <c r="L38" s="9"/>
      <c r="M38" s="15">
        <f t="shared" si="3"/>
        <v>77</v>
      </c>
    </row>
    <row r="39" spans="1:13" ht="13.5" x14ac:dyDescent="0.25">
      <c r="A39" s="39">
        <v>28</v>
      </c>
      <c r="B39" s="38">
        <v>92</v>
      </c>
      <c r="C39" s="38">
        <v>65</v>
      </c>
      <c r="D39" s="40">
        <f t="shared" si="0"/>
        <v>78.5</v>
      </c>
      <c r="E39" s="40">
        <f t="shared" si="1"/>
        <v>0</v>
      </c>
      <c r="F39" s="40">
        <f t="shared" si="2"/>
        <v>13.5</v>
      </c>
      <c r="G39" s="61">
        <v>0</v>
      </c>
      <c r="H39" s="41">
        <v>0</v>
      </c>
      <c r="I39" s="38">
        <v>30</v>
      </c>
      <c r="J39" s="148">
        <v>340</v>
      </c>
      <c r="K39" s="9"/>
      <c r="L39" s="9"/>
      <c r="M39" s="15">
        <f t="shared" si="3"/>
        <v>78.5</v>
      </c>
    </row>
    <row r="40" spans="1:13" ht="13.5" x14ac:dyDescent="0.25">
      <c r="A40" s="39">
        <v>29</v>
      </c>
      <c r="B40" s="38">
        <v>70</v>
      </c>
      <c r="C40" s="38">
        <v>47</v>
      </c>
      <c r="D40" s="40">
        <f t="shared" si="0"/>
        <v>58.5</v>
      </c>
      <c r="E40" s="40">
        <f t="shared" si="1"/>
        <v>6.5</v>
      </c>
      <c r="F40" s="40">
        <f t="shared" si="2"/>
        <v>0</v>
      </c>
      <c r="G40" s="61">
        <v>0</v>
      </c>
      <c r="H40" s="41">
        <v>0</v>
      </c>
      <c r="I40" s="38">
        <v>29</v>
      </c>
      <c r="J40" s="148">
        <v>350</v>
      </c>
      <c r="K40" s="9"/>
      <c r="L40" s="9"/>
      <c r="M40" s="15">
        <f t="shared" si="3"/>
        <v>58.5</v>
      </c>
    </row>
    <row r="41" spans="1:13" ht="13.5" x14ac:dyDescent="0.25">
      <c r="A41" s="39">
        <v>30</v>
      </c>
      <c r="B41" s="38">
        <v>74</v>
      </c>
      <c r="C41" s="38">
        <v>40</v>
      </c>
      <c r="D41" s="40">
        <f t="shared" si="0"/>
        <v>57</v>
      </c>
      <c r="E41" s="40">
        <f t="shared" si="1"/>
        <v>8</v>
      </c>
      <c r="F41" s="40">
        <f t="shared" si="2"/>
        <v>0</v>
      </c>
      <c r="G41" s="61">
        <v>0</v>
      </c>
      <c r="H41" s="41">
        <v>0</v>
      </c>
      <c r="I41" s="38">
        <v>9</v>
      </c>
      <c r="J41" s="148">
        <v>30</v>
      </c>
      <c r="K41" s="9"/>
      <c r="L41" s="9"/>
      <c r="M41" s="15">
        <f t="shared" si="3"/>
        <v>57</v>
      </c>
    </row>
    <row r="42" spans="1:13" ht="13.5" x14ac:dyDescent="0.25">
      <c r="A42" s="166">
        <v>31</v>
      </c>
      <c r="B42" s="153">
        <v>77</v>
      </c>
      <c r="C42" s="153">
        <v>42</v>
      </c>
      <c r="D42" s="167">
        <f t="shared" si="0"/>
        <v>59.5</v>
      </c>
      <c r="E42" s="167">
        <f t="shared" si="1"/>
        <v>5.5</v>
      </c>
      <c r="F42" s="167">
        <f t="shared" si="2"/>
        <v>0</v>
      </c>
      <c r="G42" s="151">
        <v>0</v>
      </c>
      <c r="H42" s="152">
        <v>0</v>
      </c>
      <c r="I42" s="153">
        <v>14</v>
      </c>
      <c r="J42" s="154">
        <v>140</v>
      </c>
      <c r="K42" s="9"/>
      <c r="L42" s="9"/>
      <c r="M42" s="15">
        <f t="shared" si="3"/>
        <v>59.5</v>
      </c>
    </row>
    <row r="43" spans="1:13" ht="13.5" x14ac:dyDescent="0.25">
      <c r="A43" s="39" t="s">
        <v>24</v>
      </c>
      <c r="B43" s="35" t="s">
        <v>25</v>
      </c>
      <c r="C43" s="35" t="s">
        <v>25</v>
      </c>
      <c r="D43" s="40">
        <f>SUM(D12:D42)</f>
        <v>2420</v>
      </c>
      <c r="E43" s="40">
        <f>SUM(E12:E42)</f>
        <v>20</v>
      </c>
      <c r="F43" s="40">
        <f>SUM(F12:F42)</f>
        <v>425</v>
      </c>
      <c r="G43" s="155">
        <f>SUM(G12:G42)</f>
        <v>1.48</v>
      </c>
      <c r="H43" s="41">
        <f>SUM(H12:H42)</f>
        <v>0</v>
      </c>
      <c r="I43" s="40" t="s">
        <v>25</v>
      </c>
      <c r="J43" s="156" t="s">
        <v>25</v>
      </c>
      <c r="K43" s="9"/>
      <c r="L43" s="9"/>
      <c r="M43" s="15">
        <f>IF(D43=0,65,D43)</f>
        <v>2420</v>
      </c>
    </row>
    <row r="44" spans="1:13" ht="13.5" x14ac:dyDescent="0.25">
      <c r="A44" s="39" t="s">
        <v>26</v>
      </c>
      <c r="B44" s="35">
        <f>MAXA(B12:B42)</f>
        <v>96</v>
      </c>
      <c r="C44" s="35">
        <f>MINA(C12:C42)</f>
        <v>40</v>
      </c>
      <c r="D44" s="40">
        <f>(B44+C44)/2</f>
        <v>68</v>
      </c>
      <c r="E44" s="40">
        <f>IF(65-D44&gt;0,65-M44,0)</f>
        <v>0</v>
      </c>
      <c r="F44" s="40">
        <f>IF((D44)-65&lt;0,0,(D44)-65)</f>
        <v>3</v>
      </c>
      <c r="G44" s="155">
        <f>MAXA(G13:G42)</f>
        <v>1.03</v>
      </c>
      <c r="H44" s="41">
        <f>MAXA(H13:H42)</f>
        <v>0</v>
      </c>
      <c r="I44" s="35">
        <f>MAXA(I12:I42)</f>
        <v>32</v>
      </c>
      <c r="J44" s="147">
        <v>300</v>
      </c>
      <c r="K44" s="9"/>
      <c r="L44" s="9"/>
      <c r="M44" s="9"/>
    </row>
    <row r="45" spans="1:13" ht="13.5" x14ac:dyDescent="0.25">
      <c r="A45" s="39" t="s">
        <v>27</v>
      </c>
      <c r="B45" s="40">
        <f>AVERAGEA(B12:B42)</f>
        <v>90.451612903225808</v>
      </c>
      <c r="C45" s="40">
        <f>AVERAGEA(C12:C42)</f>
        <v>65.677419354838705</v>
      </c>
      <c r="D45" s="40">
        <f>(B45+C45)/2</f>
        <v>78.064516129032256</v>
      </c>
      <c r="E45" s="40">
        <f>IF(65-D45&gt;0,65-M45,0)</f>
        <v>0</v>
      </c>
      <c r="F45" s="40">
        <f>IF((D45)-65&lt;0,0,(D45)-65)</f>
        <v>13.064516129032256</v>
      </c>
      <c r="G45" s="155">
        <f>AVERAGEA(G12:G42)</f>
        <v>4.774193548387097E-2</v>
      </c>
      <c r="H45" s="41">
        <f>AVERAGEA(H12:H42)</f>
        <v>0</v>
      </c>
      <c r="I45" s="40">
        <f>AVERAGEA(I12:I42)</f>
        <v>19.096774193548388</v>
      </c>
      <c r="J45" s="156">
        <f>AVERAGE(J12:J42)</f>
        <v>148.70967741935485</v>
      </c>
      <c r="K45" s="9"/>
      <c r="L45" s="9"/>
      <c r="M45" s="9"/>
    </row>
    <row r="46" spans="1:13" ht="13.5" x14ac:dyDescent="0.25">
      <c r="A46" s="39" t="s">
        <v>28</v>
      </c>
      <c r="B46" s="35">
        <v>100</v>
      </c>
      <c r="C46" s="35">
        <v>26</v>
      </c>
      <c r="D46" s="40">
        <v>73</v>
      </c>
      <c r="E46" s="40">
        <f>AVERAGEA(E13:E42)</f>
        <v>0.66666666666666663</v>
      </c>
      <c r="F46" s="40">
        <f>AVERAGEA(F13:F42)</f>
        <v>13.633333333333333</v>
      </c>
      <c r="G46" s="155">
        <v>3.1</v>
      </c>
      <c r="H46" s="41" t="s">
        <v>25</v>
      </c>
      <c r="I46" s="35">
        <v>8</v>
      </c>
      <c r="J46" s="156">
        <v>160</v>
      </c>
      <c r="K46" s="9"/>
      <c r="L46" s="9"/>
      <c r="M46" s="9"/>
    </row>
    <row r="47" spans="1:13" ht="13.5" x14ac:dyDescent="0.25">
      <c r="A47" s="27" t="s">
        <v>29</v>
      </c>
      <c r="B47" s="34"/>
      <c r="C47" s="34"/>
      <c r="D47" s="145"/>
      <c r="E47" s="145"/>
      <c r="F47" s="145"/>
      <c r="G47" s="155">
        <f>(G43-G46)</f>
        <v>-1.62</v>
      </c>
      <c r="H47" s="34"/>
      <c r="I47" s="38"/>
      <c r="J47" s="157"/>
      <c r="K47" s="9"/>
      <c r="L47" s="9"/>
      <c r="M47" s="9"/>
    </row>
    <row r="48" spans="1:13" ht="27.75" customHeight="1" x14ac:dyDescent="0.25">
      <c r="A48" s="231" t="s">
        <v>75</v>
      </c>
      <c r="B48" s="232"/>
      <c r="C48" s="232"/>
      <c r="D48" s="232"/>
      <c r="E48" s="232"/>
      <c r="F48" s="232"/>
      <c r="G48" s="232"/>
      <c r="H48" s="232"/>
      <c r="I48" s="232"/>
      <c r="J48" s="233"/>
      <c r="K48" s="9"/>
      <c r="L48" s="9"/>
      <c r="M48" s="9"/>
    </row>
    <row r="49" spans="1:13" ht="14.25" thickBot="1" x14ac:dyDescent="0.3">
      <c r="A49" s="159" t="s">
        <v>62</v>
      </c>
      <c r="B49" s="160"/>
      <c r="C49" s="160"/>
      <c r="D49" s="160"/>
      <c r="E49" s="160"/>
      <c r="F49" s="160"/>
      <c r="G49" s="160"/>
      <c r="H49" s="160"/>
      <c r="I49" s="160"/>
      <c r="J49" s="161"/>
      <c r="K49" s="9"/>
      <c r="L49" s="9"/>
      <c r="M49" s="9"/>
    </row>
    <row r="50" spans="1:13" ht="13.5" x14ac:dyDescent="0.25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9"/>
      <c r="L50" s="9"/>
      <c r="M50" s="9"/>
    </row>
    <row r="52" spans="1:13" x14ac:dyDescent="0.2">
      <c r="A52" s="203"/>
      <c r="B52" s="227" t="s">
        <v>31</v>
      </c>
      <c r="C52" s="227"/>
      <c r="D52" s="227"/>
      <c r="E52" s="227"/>
      <c r="F52" s="227"/>
      <c r="G52" s="227" t="s">
        <v>72</v>
      </c>
      <c r="H52" s="227"/>
      <c r="I52" s="227"/>
      <c r="J52" s="203" t="s">
        <v>73</v>
      </c>
    </row>
    <row r="53" spans="1:13" ht="25.5" x14ac:dyDescent="0.2">
      <c r="A53" s="203"/>
      <c r="B53" s="205" t="s">
        <v>66</v>
      </c>
      <c r="C53" s="205" t="s">
        <v>67</v>
      </c>
      <c r="D53" s="203" t="s">
        <v>16</v>
      </c>
      <c r="E53" s="205" t="s">
        <v>69</v>
      </c>
      <c r="F53" s="205" t="s">
        <v>68</v>
      </c>
      <c r="G53" s="205" t="s">
        <v>12</v>
      </c>
      <c r="H53" s="203" t="s">
        <v>16</v>
      </c>
      <c r="I53" s="205" t="s">
        <v>71</v>
      </c>
      <c r="J53" s="205" t="s">
        <v>70</v>
      </c>
    </row>
    <row r="54" spans="1:13" ht="25.5" x14ac:dyDescent="0.2">
      <c r="A54" s="205" t="s">
        <v>64</v>
      </c>
      <c r="B54" s="35">
        <f>MAXA(B12:B42)</f>
        <v>96</v>
      </c>
      <c r="C54" s="40">
        <f>AVERAGEA(B12:B42)</f>
        <v>90.451612903225808</v>
      </c>
      <c r="D54" s="40">
        <f>(B45+C45)/2</f>
        <v>78.064516129032256</v>
      </c>
      <c r="E54" s="40">
        <f>AVERAGEA(C12:C42)</f>
        <v>65.677419354838705</v>
      </c>
      <c r="F54" s="35">
        <f>MINA(C12:C42)</f>
        <v>40</v>
      </c>
      <c r="G54" s="61">
        <f>SUM(G12:G42)</f>
        <v>1.48</v>
      </c>
      <c r="H54" s="61">
        <f>AVERAGEA(G12:G42)</f>
        <v>4.774193548387097E-2</v>
      </c>
      <c r="I54" s="61">
        <f>MAXA(G12:G40)</f>
        <v>1.03</v>
      </c>
      <c r="J54" s="206">
        <f>MAXA(I12:I40)</f>
        <v>32</v>
      </c>
    </row>
    <row r="55" spans="1:13" x14ac:dyDescent="0.2">
      <c r="A55" s="203" t="s">
        <v>65</v>
      </c>
      <c r="B55" s="204">
        <v>100</v>
      </c>
      <c r="C55" s="204">
        <v>84</v>
      </c>
      <c r="D55" s="204">
        <v>73</v>
      </c>
      <c r="E55" s="204">
        <v>62</v>
      </c>
      <c r="F55" s="204">
        <v>26</v>
      </c>
      <c r="G55" s="204">
        <v>13.9</v>
      </c>
      <c r="H55" s="204">
        <v>3.1</v>
      </c>
      <c r="I55" s="204">
        <v>6.5</v>
      </c>
      <c r="J55" s="204">
        <v>60</v>
      </c>
    </row>
  </sheetData>
  <mergeCells count="3">
    <mergeCell ref="B52:F52"/>
    <mergeCell ref="G52:I52"/>
    <mergeCell ref="A48:J48"/>
  </mergeCells>
  <phoneticPr fontId="0" type="noConversion"/>
  <conditionalFormatting sqref="E54">
    <cfRule type="cellIs" dxfId="26" priority="1" stopIfTrue="1" operator="lessThan">
      <formula>$E$55</formula>
    </cfRule>
  </conditionalFormatting>
  <conditionalFormatting sqref="F54">
    <cfRule type="cellIs" dxfId="25" priority="2" stopIfTrue="1" operator="lessThan">
      <formula>$F$55</formula>
    </cfRule>
  </conditionalFormatting>
  <conditionalFormatting sqref="B54">
    <cfRule type="cellIs" dxfId="24" priority="3" stopIfTrue="1" operator="greaterThan">
      <formula>$B$54</formula>
    </cfRule>
  </conditionalFormatting>
  <conditionalFormatting sqref="C54">
    <cfRule type="cellIs" dxfId="23" priority="4" stopIfTrue="1" operator="greaterThan">
      <formula>$C$54</formula>
    </cfRule>
  </conditionalFormatting>
  <conditionalFormatting sqref="D54">
    <cfRule type="cellIs" dxfId="22" priority="5" stopIfTrue="1" operator="lessThanOrEqual">
      <formula>$D$54</formula>
    </cfRule>
    <cfRule type="cellIs" dxfId="21" priority="6" stopIfTrue="1" operator="greaterThan">
      <formula>$D$54</formula>
    </cfRule>
  </conditionalFormatting>
  <conditionalFormatting sqref="G54">
    <cfRule type="cellIs" dxfId="20" priority="7" stopIfTrue="1" operator="greaterThan">
      <formula>$G$54</formula>
    </cfRule>
  </conditionalFormatting>
  <conditionalFormatting sqref="I54">
    <cfRule type="cellIs" dxfId="19" priority="8" stopIfTrue="1" operator="greaterThan">
      <formula>$I$54</formula>
    </cfRule>
  </conditionalFormatting>
  <conditionalFormatting sqref="J54">
    <cfRule type="cellIs" dxfId="18" priority="9" stopIfTrue="1" operator="greaterThan">
      <formula>$J$54</formula>
    </cfRule>
  </conditionalFormatting>
  <pageMargins left="0.99" right="0.5" top="1" bottom="1" header="0.5" footer="0.5"/>
  <pageSetup scale="93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2818-617E-458F-A716-8B275359F369}">
  <sheetPr codeName="Sheet11">
    <pageSetUpPr fitToPage="1"/>
  </sheetPr>
  <dimension ref="A1:M54"/>
  <sheetViews>
    <sheetView zoomScaleNormal="100" workbookViewId="0">
      <selection activeCell="W18" sqref="W18"/>
    </sheetView>
  </sheetViews>
  <sheetFormatPr defaultRowHeight="12.75" x14ac:dyDescent="0.2"/>
  <cols>
    <col min="9" max="9" width="9" customWidth="1"/>
    <col min="10" max="10" width="8.85546875" customWidth="1"/>
  </cols>
  <sheetData>
    <row r="1" spans="1:13" x14ac:dyDescent="0.2">
      <c r="A1" s="1"/>
      <c r="B1" s="2"/>
      <c r="C1" s="2"/>
      <c r="D1" s="2"/>
      <c r="E1" s="2"/>
      <c r="F1" s="2"/>
      <c r="G1" s="2"/>
      <c r="H1" s="2"/>
      <c r="I1" s="2"/>
      <c r="J1" s="3"/>
    </row>
    <row r="2" spans="1:13" ht="15.75" x14ac:dyDescent="0.25">
      <c r="A2" s="67" t="s">
        <v>79</v>
      </c>
      <c r="B2" s="63"/>
      <c r="C2" s="68"/>
      <c r="D2" s="69"/>
      <c r="E2" s="69"/>
      <c r="F2" s="69"/>
      <c r="G2" s="69"/>
      <c r="H2" s="69"/>
      <c r="I2" s="69"/>
      <c r="J2" s="70"/>
      <c r="K2" s="4"/>
      <c r="L2" s="4"/>
      <c r="M2" s="4"/>
    </row>
    <row r="3" spans="1:13" ht="15.75" x14ac:dyDescent="0.25">
      <c r="A3" s="67" t="s">
        <v>0</v>
      </c>
      <c r="B3" s="63"/>
      <c r="C3" s="68"/>
      <c r="D3" s="69"/>
      <c r="E3" s="69"/>
      <c r="F3" s="69"/>
      <c r="G3" s="69"/>
      <c r="H3" s="69"/>
      <c r="I3" s="63"/>
      <c r="J3" s="70"/>
      <c r="K3" s="4"/>
      <c r="L3" s="4"/>
      <c r="M3" s="4"/>
    </row>
    <row r="4" spans="1:13" ht="15.75" x14ac:dyDescent="0.25">
      <c r="A4" s="71" t="s">
        <v>1</v>
      </c>
      <c r="B4" s="63"/>
      <c r="C4" s="68"/>
      <c r="D4" s="69"/>
      <c r="E4" s="69"/>
      <c r="F4" s="72"/>
      <c r="G4" s="69"/>
      <c r="H4" s="69"/>
      <c r="I4" s="63"/>
      <c r="J4" s="70"/>
      <c r="K4" s="4"/>
      <c r="L4" s="4"/>
      <c r="M4" s="4"/>
    </row>
    <row r="5" spans="1:13" ht="15.75" x14ac:dyDescent="0.25">
      <c r="A5" s="73" t="s">
        <v>91</v>
      </c>
      <c r="B5" s="69"/>
      <c r="C5" s="74"/>
      <c r="D5" s="69"/>
      <c r="E5" s="69"/>
      <c r="F5" s="69"/>
      <c r="G5" s="69"/>
      <c r="H5" s="69"/>
      <c r="I5" s="69"/>
      <c r="J5" s="70"/>
      <c r="K5" s="4"/>
      <c r="L5" s="4"/>
      <c r="M5" s="4"/>
    </row>
    <row r="6" spans="1:13" ht="15.75" x14ac:dyDescent="0.25">
      <c r="A6" s="195"/>
      <c r="B6" s="69"/>
      <c r="C6" s="69"/>
      <c r="D6" s="69"/>
      <c r="E6" s="69"/>
      <c r="F6" s="69"/>
      <c r="G6" s="69"/>
      <c r="H6" s="69"/>
      <c r="I6" s="69"/>
      <c r="J6" s="70"/>
      <c r="K6" s="58"/>
      <c r="L6" s="58"/>
      <c r="M6" s="4"/>
    </row>
    <row r="7" spans="1:13" ht="13.5" x14ac:dyDescent="0.25">
      <c r="A7" s="82"/>
      <c r="B7" s="83" t="s">
        <v>2</v>
      </c>
      <c r="C7" s="84"/>
      <c r="D7" s="84"/>
      <c r="E7" s="84"/>
      <c r="F7" s="84"/>
      <c r="G7" s="85" t="s">
        <v>3</v>
      </c>
      <c r="H7" s="84"/>
      <c r="I7" s="234" t="s">
        <v>61</v>
      </c>
      <c r="J7" s="235"/>
      <c r="K7" s="9"/>
      <c r="L7" s="9"/>
      <c r="M7" s="9"/>
    </row>
    <row r="8" spans="1:13" ht="13.5" x14ac:dyDescent="0.25">
      <c r="A8" s="82"/>
      <c r="B8" s="84"/>
      <c r="C8" s="84"/>
      <c r="D8" s="85" t="s">
        <v>5</v>
      </c>
      <c r="E8" s="84"/>
      <c r="F8" s="84"/>
      <c r="G8" s="83" t="s">
        <v>6</v>
      </c>
      <c r="H8" s="143" t="s">
        <v>7</v>
      </c>
      <c r="I8" s="84"/>
      <c r="J8" s="86"/>
      <c r="K8" s="9"/>
      <c r="L8" s="9"/>
      <c r="M8" s="9"/>
    </row>
    <row r="9" spans="1:13" ht="13.5" x14ac:dyDescent="0.25">
      <c r="A9" s="82"/>
      <c r="B9" s="85" t="s">
        <v>8</v>
      </c>
      <c r="C9" s="84"/>
      <c r="D9" s="85" t="s">
        <v>9</v>
      </c>
      <c r="E9" s="84"/>
      <c r="F9" s="84"/>
      <c r="G9" s="83" t="s">
        <v>10</v>
      </c>
      <c r="H9" s="143" t="s">
        <v>11</v>
      </c>
      <c r="I9" s="143" t="s">
        <v>12</v>
      </c>
      <c r="J9" s="177" t="s">
        <v>13</v>
      </c>
      <c r="K9" s="9"/>
      <c r="L9" s="9"/>
      <c r="M9" s="9"/>
    </row>
    <row r="10" spans="1:13" ht="13.5" x14ac:dyDescent="0.25">
      <c r="A10" s="178" t="s">
        <v>14</v>
      </c>
      <c r="B10" s="143" t="s">
        <v>12</v>
      </c>
      <c r="C10" s="143" t="s">
        <v>15</v>
      </c>
      <c r="D10" s="143" t="s">
        <v>16</v>
      </c>
      <c r="E10" s="143" t="s">
        <v>17</v>
      </c>
      <c r="F10" s="143" t="s">
        <v>18</v>
      </c>
      <c r="G10" s="83" t="s">
        <v>19</v>
      </c>
      <c r="H10" s="143" t="s">
        <v>20</v>
      </c>
      <c r="I10" s="143" t="s">
        <v>21</v>
      </c>
      <c r="J10" s="92" t="s">
        <v>22</v>
      </c>
      <c r="K10" s="10" t="s">
        <v>23</v>
      </c>
      <c r="L10" s="16"/>
      <c r="M10" s="9"/>
    </row>
    <row r="11" spans="1:13" ht="14.25" thickBot="1" x14ac:dyDescent="0.3">
      <c r="A11" s="180"/>
      <c r="B11" s="32"/>
      <c r="C11" s="32"/>
      <c r="D11" s="32"/>
      <c r="E11" s="32"/>
      <c r="F11" s="32"/>
      <c r="G11" s="32"/>
      <c r="H11" s="32"/>
      <c r="I11" s="32"/>
      <c r="J11" s="144"/>
      <c r="K11" s="60"/>
      <c r="L11" s="59"/>
      <c r="M11" s="9"/>
    </row>
    <row r="12" spans="1:13" ht="13.5" x14ac:dyDescent="0.25">
      <c r="A12" s="39">
        <v>1</v>
      </c>
      <c r="B12" s="35">
        <v>77</v>
      </c>
      <c r="C12" s="35">
        <v>50</v>
      </c>
      <c r="D12" s="40">
        <f t="shared" ref="D12:D41" si="0">(B12+C12)/2</f>
        <v>63.5</v>
      </c>
      <c r="E12" s="40">
        <f t="shared" ref="E12:E41" si="1">IF(65-D12&gt;0,65-M12,0)</f>
        <v>1.5</v>
      </c>
      <c r="F12" s="40">
        <f t="shared" ref="F12:F41" si="2">IF((D12)-65&lt;0,0,(D12)-65)</f>
        <v>0</v>
      </c>
      <c r="G12" s="146">
        <v>0</v>
      </c>
      <c r="H12" s="41">
        <v>0</v>
      </c>
      <c r="I12" s="35">
        <v>25</v>
      </c>
      <c r="J12" s="147">
        <v>40</v>
      </c>
      <c r="K12" s="9"/>
      <c r="L12" s="16"/>
      <c r="M12" s="15">
        <f t="shared" ref="M12:M41" si="3">IF(D12=0,65,D12)</f>
        <v>63.5</v>
      </c>
    </row>
    <row r="13" spans="1:13" ht="13.5" x14ac:dyDescent="0.25">
      <c r="A13" s="39">
        <v>2</v>
      </c>
      <c r="B13" s="35">
        <v>75</v>
      </c>
      <c r="C13" s="35">
        <v>48</v>
      </c>
      <c r="D13" s="40">
        <f t="shared" si="0"/>
        <v>61.5</v>
      </c>
      <c r="E13" s="40">
        <f t="shared" si="1"/>
        <v>3.5</v>
      </c>
      <c r="F13" s="40">
        <f t="shared" si="2"/>
        <v>0</v>
      </c>
      <c r="G13" s="61">
        <v>0</v>
      </c>
      <c r="H13" s="41">
        <v>0</v>
      </c>
      <c r="I13" s="35">
        <v>10</v>
      </c>
      <c r="J13" s="147">
        <v>30</v>
      </c>
      <c r="K13" s="9"/>
      <c r="L13" s="9"/>
      <c r="M13" s="15">
        <f t="shared" si="3"/>
        <v>61.5</v>
      </c>
    </row>
    <row r="14" spans="1:13" ht="13.5" x14ac:dyDescent="0.25">
      <c r="A14" s="39">
        <v>3</v>
      </c>
      <c r="B14" s="35">
        <v>79</v>
      </c>
      <c r="C14" s="35">
        <v>46</v>
      </c>
      <c r="D14" s="40">
        <f t="shared" si="0"/>
        <v>62.5</v>
      </c>
      <c r="E14" s="40">
        <f t="shared" si="1"/>
        <v>2.5</v>
      </c>
      <c r="F14" s="40">
        <f t="shared" si="2"/>
        <v>0</v>
      </c>
      <c r="G14" s="61">
        <v>0</v>
      </c>
      <c r="H14" s="41">
        <v>0</v>
      </c>
      <c r="I14" s="35">
        <v>15</v>
      </c>
      <c r="J14" s="147">
        <v>140</v>
      </c>
      <c r="K14" s="9"/>
      <c r="L14" s="9"/>
      <c r="M14" s="15">
        <f t="shared" si="3"/>
        <v>62.5</v>
      </c>
    </row>
    <row r="15" spans="1:13" ht="13.5" x14ac:dyDescent="0.25">
      <c r="A15" s="39">
        <v>4</v>
      </c>
      <c r="B15" s="35">
        <v>81</v>
      </c>
      <c r="C15" s="35">
        <v>49</v>
      </c>
      <c r="D15" s="40">
        <f t="shared" si="0"/>
        <v>65</v>
      </c>
      <c r="E15" s="40">
        <f t="shared" si="1"/>
        <v>0</v>
      </c>
      <c r="F15" s="40">
        <f t="shared" si="2"/>
        <v>0</v>
      </c>
      <c r="G15" s="61">
        <v>0</v>
      </c>
      <c r="H15" s="41">
        <v>0</v>
      </c>
      <c r="I15" s="35">
        <v>18</v>
      </c>
      <c r="J15" s="147">
        <v>190</v>
      </c>
      <c r="K15" s="9"/>
      <c r="L15" s="9"/>
      <c r="M15" s="15">
        <f t="shared" si="3"/>
        <v>65</v>
      </c>
    </row>
    <row r="16" spans="1:13" ht="13.5" x14ac:dyDescent="0.25">
      <c r="A16" s="39">
        <v>5</v>
      </c>
      <c r="B16" s="35">
        <v>85</v>
      </c>
      <c r="C16" s="35">
        <v>53</v>
      </c>
      <c r="D16" s="40">
        <f t="shared" si="0"/>
        <v>69</v>
      </c>
      <c r="E16" s="40">
        <f t="shared" si="1"/>
        <v>0</v>
      </c>
      <c r="F16" s="40">
        <f t="shared" si="2"/>
        <v>4</v>
      </c>
      <c r="G16" s="61">
        <v>0</v>
      </c>
      <c r="H16" s="41">
        <v>0</v>
      </c>
      <c r="I16" s="35">
        <v>17</v>
      </c>
      <c r="J16" s="147">
        <v>210</v>
      </c>
      <c r="K16" s="9"/>
      <c r="L16" s="9"/>
      <c r="M16" s="15">
        <f t="shared" si="3"/>
        <v>69</v>
      </c>
    </row>
    <row r="17" spans="1:13" ht="13.5" x14ac:dyDescent="0.25">
      <c r="A17" s="39">
        <v>6</v>
      </c>
      <c r="B17" s="35">
        <v>86</v>
      </c>
      <c r="C17" s="35">
        <v>55</v>
      </c>
      <c r="D17" s="40">
        <f t="shared" si="0"/>
        <v>70.5</v>
      </c>
      <c r="E17" s="40">
        <f t="shared" si="1"/>
        <v>0</v>
      </c>
      <c r="F17" s="40">
        <f t="shared" si="2"/>
        <v>5.5</v>
      </c>
      <c r="G17" s="61">
        <v>0</v>
      </c>
      <c r="H17" s="41">
        <v>0</v>
      </c>
      <c r="I17" s="35">
        <v>16</v>
      </c>
      <c r="J17" s="147">
        <v>160</v>
      </c>
      <c r="K17" s="9"/>
      <c r="L17" s="9"/>
      <c r="M17" s="15">
        <f t="shared" si="3"/>
        <v>70.5</v>
      </c>
    </row>
    <row r="18" spans="1:13" ht="13.5" x14ac:dyDescent="0.25">
      <c r="A18" s="39">
        <v>7</v>
      </c>
      <c r="B18" s="38">
        <v>92</v>
      </c>
      <c r="C18" s="38">
        <v>56</v>
      </c>
      <c r="D18" s="40">
        <f t="shared" si="0"/>
        <v>74</v>
      </c>
      <c r="E18" s="40">
        <f t="shared" si="1"/>
        <v>0</v>
      </c>
      <c r="F18" s="40">
        <f t="shared" si="2"/>
        <v>9</v>
      </c>
      <c r="G18" s="61">
        <v>0</v>
      </c>
      <c r="H18" s="41">
        <v>0</v>
      </c>
      <c r="I18" s="38">
        <v>15</v>
      </c>
      <c r="J18" s="148">
        <v>230</v>
      </c>
      <c r="K18" s="9"/>
      <c r="L18" s="9"/>
      <c r="M18" s="15">
        <f t="shared" si="3"/>
        <v>74</v>
      </c>
    </row>
    <row r="19" spans="1:13" ht="13.5" x14ac:dyDescent="0.25">
      <c r="A19" s="39">
        <v>8</v>
      </c>
      <c r="B19" s="38">
        <v>90</v>
      </c>
      <c r="C19" s="38">
        <v>55</v>
      </c>
      <c r="D19" s="40">
        <f t="shared" si="0"/>
        <v>72.5</v>
      </c>
      <c r="E19" s="40">
        <f t="shared" si="1"/>
        <v>0</v>
      </c>
      <c r="F19" s="40">
        <f t="shared" si="2"/>
        <v>7.5</v>
      </c>
      <c r="G19" s="61">
        <v>0</v>
      </c>
      <c r="H19" s="41">
        <v>0</v>
      </c>
      <c r="I19" s="38">
        <v>12</v>
      </c>
      <c r="J19" s="148">
        <v>10</v>
      </c>
      <c r="K19" s="9"/>
      <c r="L19" s="9"/>
      <c r="M19" s="15">
        <f t="shared" si="3"/>
        <v>72.5</v>
      </c>
    </row>
    <row r="20" spans="1:13" ht="13.5" x14ac:dyDescent="0.25">
      <c r="A20" s="39">
        <v>9</v>
      </c>
      <c r="B20" s="38">
        <v>75</v>
      </c>
      <c r="C20" s="38">
        <v>56</v>
      </c>
      <c r="D20" s="40">
        <f t="shared" si="0"/>
        <v>65.5</v>
      </c>
      <c r="E20" s="40">
        <f t="shared" si="1"/>
        <v>0</v>
      </c>
      <c r="F20" s="40">
        <f t="shared" si="2"/>
        <v>0.5</v>
      </c>
      <c r="G20" s="61">
        <v>0</v>
      </c>
      <c r="H20" s="41">
        <v>0</v>
      </c>
      <c r="I20" s="38">
        <v>33</v>
      </c>
      <c r="J20" s="148">
        <v>10</v>
      </c>
      <c r="K20" s="9"/>
      <c r="L20" s="9"/>
      <c r="M20" s="15">
        <f t="shared" si="3"/>
        <v>65.5</v>
      </c>
    </row>
    <row r="21" spans="1:13" ht="13.5" x14ac:dyDescent="0.25">
      <c r="A21" s="39">
        <v>10</v>
      </c>
      <c r="B21" s="38">
        <v>65</v>
      </c>
      <c r="C21" s="38">
        <v>44</v>
      </c>
      <c r="D21" s="40">
        <f t="shared" si="0"/>
        <v>54.5</v>
      </c>
      <c r="E21" s="40">
        <f t="shared" si="1"/>
        <v>10.5</v>
      </c>
      <c r="F21" s="40">
        <f t="shared" si="2"/>
        <v>0</v>
      </c>
      <c r="G21" s="61">
        <v>0</v>
      </c>
      <c r="H21" s="41">
        <v>0</v>
      </c>
      <c r="I21" s="38">
        <v>19</v>
      </c>
      <c r="J21" s="148">
        <v>10</v>
      </c>
      <c r="K21" s="9"/>
      <c r="L21" s="9"/>
      <c r="M21" s="15">
        <f t="shared" si="3"/>
        <v>54.5</v>
      </c>
    </row>
    <row r="22" spans="1:13" ht="13.5" x14ac:dyDescent="0.25">
      <c r="A22" s="39">
        <v>11</v>
      </c>
      <c r="B22" s="38">
        <v>75</v>
      </c>
      <c r="C22" s="38">
        <v>36</v>
      </c>
      <c r="D22" s="40">
        <f t="shared" si="0"/>
        <v>55.5</v>
      </c>
      <c r="E22" s="40">
        <f t="shared" si="1"/>
        <v>9.5</v>
      </c>
      <c r="F22" s="40">
        <f t="shared" si="2"/>
        <v>0</v>
      </c>
      <c r="G22" s="61">
        <v>0</v>
      </c>
      <c r="H22" s="41">
        <v>0</v>
      </c>
      <c r="I22" s="38">
        <v>19</v>
      </c>
      <c r="J22" s="148">
        <v>170</v>
      </c>
      <c r="K22" s="9"/>
      <c r="L22" s="9"/>
      <c r="M22" s="15">
        <f t="shared" si="3"/>
        <v>55.5</v>
      </c>
    </row>
    <row r="23" spans="1:13" ht="13.5" x14ac:dyDescent="0.25">
      <c r="A23" s="39">
        <v>12</v>
      </c>
      <c r="B23" s="38">
        <v>84</v>
      </c>
      <c r="C23" s="38">
        <v>48</v>
      </c>
      <c r="D23" s="40">
        <f t="shared" si="0"/>
        <v>66</v>
      </c>
      <c r="E23" s="40">
        <f t="shared" si="1"/>
        <v>0</v>
      </c>
      <c r="F23" s="40">
        <f t="shared" si="2"/>
        <v>1</v>
      </c>
      <c r="G23" s="61">
        <v>0</v>
      </c>
      <c r="H23" s="41">
        <v>0</v>
      </c>
      <c r="I23" s="38">
        <v>20</v>
      </c>
      <c r="J23" s="149">
        <v>130</v>
      </c>
      <c r="K23" s="9"/>
      <c r="L23" s="9"/>
      <c r="M23" s="15">
        <f t="shared" si="3"/>
        <v>66</v>
      </c>
    </row>
    <row r="24" spans="1:13" ht="13.5" x14ac:dyDescent="0.25">
      <c r="A24" s="39">
        <v>13</v>
      </c>
      <c r="B24" s="38">
        <v>87</v>
      </c>
      <c r="C24" s="38">
        <v>57</v>
      </c>
      <c r="D24" s="40">
        <f t="shared" si="0"/>
        <v>72</v>
      </c>
      <c r="E24" s="40">
        <f t="shared" si="1"/>
        <v>0</v>
      </c>
      <c r="F24" s="40">
        <f t="shared" si="2"/>
        <v>7</v>
      </c>
      <c r="G24" s="61">
        <v>0</v>
      </c>
      <c r="H24" s="41">
        <v>0</v>
      </c>
      <c r="I24" s="38">
        <v>21</v>
      </c>
      <c r="J24" s="148">
        <v>140</v>
      </c>
      <c r="K24" s="9"/>
      <c r="L24" s="9"/>
      <c r="M24" s="15">
        <f t="shared" si="3"/>
        <v>72</v>
      </c>
    </row>
    <row r="25" spans="1:13" ht="13.5" x14ac:dyDescent="0.25">
      <c r="A25" s="39">
        <v>14</v>
      </c>
      <c r="B25" s="38">
        <v>88</v>
      </c>
      <c r="C25" s="38">
        <v>61</v>
      </c>
      <c r="D25" s="40">
        <f t="shared" si="0"/>
        <v>74.5</v>
      </c>
      <c r="E25" s="40">
        <f t="shared" si="1"/>
        <v>0</v>
      </c>
      <c r="F25" s="40">
        <f t="shared" si="2"/>
        <v>9.5</v>
      </c>
      <c r="G25" s="61">
        <v>0</v>
      </c>
      <c r="H25" s="41">
        <v>0</v>
      </c>
      <c r="I25" s="38">
        <v>20</v>
      </c>
      <c r="J25" s="148">
        <v>160</v>
      </c>
      <c r="K25" s="9"/>
      <c r="L25" s="9"/>
      <c r="M25" s="15">
        <f t="shared" si="3"/>
        <v>74.5</v>
      </c>
    </row>
    <row r="26" spans="1:13" ht="13.5" x14ac:dyDescent="0.25">
      <c r="A26" s="39">
        <v>15</v>
      </c>
      <c r="B26" s="38">
        <v>87</v>
      </c>
      <c r="C26" s="38">
        <v>66</v>
      </c>
      <c r="D26" s="40">
        <f t="shared" si="0"/>
        <v>76.5</v>
      </c>
      <c r="E26" s="40">
        <f t="shared" si="1"/>
        <v>0</v>
      </c>
      <c r="F26" s="40">
        <f t="shared" si="2"/>
        <v>11.5</v>
      </c>
      <c r="G26" s="61">
        <v>0</v>
      </c>
      <c r="H26" s="41">
        <v>0</v>
      </c>
      <c r="I26" s="38">
        <v>19</v>
      </c>
      <c r="J26" s="148">
        <v>180</v>
      </c>
      <c r="K26" s="9"/>
      <c r="L26" s="9"/>
      <c r="M26" s="15">
        <f t="shared" si="3"/>
        <v>76.5</v>
      </c>
    </row>
    <row r="27" spans="1:13" ht="13.5" x14ac:dyDescent="0.25">
      <c r="A27" s="39">
        <v>16</v>
      </c>
      <c r="B27" s="38">
        <v>87</v>
      </c>
      <c r="C27" s="38">
        <v>62</v>
      </c>
      <c r="D27" s="40">
        <f t="shared" si="0"/>
        <v>74.5</v>
      </c>
      <c r="E27" s="40">
        <f t="shared" si="1"/>
        <v>0</v>
      </c>
      <c r="F27" s="40">
        <f t="shared" si="2"/>
        <v>9.5</v>
      </c>
      <c r="G27" s="61">
        <v>0</v>
      </c>
      <c r="H27" s="41">
        <v>0</v>
      </c>
      <c r="I27" s="38">
        <v>14</v>
      </c>
      <c r="J27" s="148">
        <v>150</v>
      </c>
      <c r="K27" s="9"/>
      <c r="L27" s="9"/>
      <c r="M27" s="15">
        <f t="shared" si="3"/>
        <v>74.5</v>
      </c>
    </row>
    <row r="28" spans="1:13" ht="13.5" x14ac:dyDescent="0.25">
      <c r="A28" s="39">
        <v>17</v>
      </c>
      <c r="B28" s="38">
        <v>89</v>
      </c>
      <c r="C28" s="38">
        <v>68</v>
      </c>
      <c r="D28" s="40">
        <f t="shared" si="0"/>
        <v>78.5</v>
      </c>
      <c r="E28" s="40">
        <f t="shared" si="1"/>
        <v>0</v>
      </c>
      <c r="F28" s="40">
        <f t="shared" si="2"/>
        <v>13.5</v>
      </c>
      <c r="G28" s="61">
        <v>0</v>
      </c>
      <c r="H28" s="41">
        <v>0</v>
      </c>
      <c r="I28" s="38">
        <v>22</v>
      </c>
      <c r="J28" s="148">
        <v>140</v>
      </c>
      <c r="K28" s="9"/>
      <c r="L28" s="9"/>
      <c r="M28" s="15">
        <f t="shared" si="3"/>
        <v>78.5</v>
      </c>
    </row>
    <row r="29" spans="1:13" ht="13.5" x14ac:dyDescent="0.25">
      <c r="A29" s="39">
        <v>18</v>
      </c>
      <c r="B29" s="38">
        <v>87</v>
      </c>
      <c r="C29" s="38">
        <v>73</v>
      </c>
      <c r="D29" s="40">
        <f t="shared" si="0"/>
        <v>80</v>
      </c>
      <c r="E29" s="40">
        <f t="shared" si="1"/>
        <v>0</v>
      </c>
      <c r="F29" s="40">
        <f t="shared" si="2"/>
        <v>15</v>
      </c>
      <c r="G29" s="61">
        <v>0</v>
      </c>
      <c r="H29" s="41">
        <v>0</v>
      </c>
      <c r="I29" s="38">
        <v>17</v>
      </c>
      <c r="J29" s="148">
        <v>130</v>
      </c>
      <c r="K29" s="9"/>
      <c r="L29" s="9"/>
      <c r="M29" s="15">
        <f t="shared" si="3"/>
        <v>80</v>
      </c>
    </row>
    <row r="30" spans="1:13" ht="13.5" x14ac:dyDescent="0.25">
      <c r="A30" s="39">
        <v>19</v>
      </c>
      <c r="B30" s="38">
        <v>87</v>
      </c>
      <c r="C30" s="38">
        <v>74</v>
      </c>
      <c r="D30" s="40">
        <f t="shared" si="0"/>
        <v>80.5</v>
      </c>
      <c r="E30" s="40">
        <f t="shared" si="1"/>
        <v>0</v>
      </c>
      <c r="F30" s="40">
        <f t="shared" si="2"/>
        <v>15.5</v>
      </c>
      <c r="G30" s="61">
        <v>0</v>
      </c>
      <c r="H30" s="41">
        <v>0</v>
      </c>
      <c r="I30" s="38">
        <v>21</v>
      </c>
      <c r="J30" s="148">
        <v>140</v>
      </c>
      <c r="K30" s="9"/>
      <c r="L30" s="9"/>
      <c r="M30" s="15">
        <f t="shared" si="3"/>
        <v>80.5</v>
      </c>
    </row>
    <row r="31" spans="1:13" ht="13.5" x14ac:dyDescent="0.25">
      <c r="A31" s="39">
        <v>20</v>
      </c>
      <c r="B31" s="38">
        <v>87</v>
      </c>
      <c r="C31" s="38">
        <v>73</v>
      </c>
      <c r="D31" s="40">
        <f t="shared" si="0"/>
        <v>80</v>
      </c>
      <c r="E31" s="40">
        <f t="shared" si="1"/>
        <v>0</v>
      </c>
      <c r="F31" s="40">
        <f t="shared" si="2"/>
        <v>15</v>
      </c>
      <c r="G31" s="61">
        <v>0</v>
      </c>
      <c r="H31" s="41">
        <v>0</v>
      </c>
      <c r="I31" s="38">
        <v>20</v>
      </c>
      <c r="J31" s="148">
        <v>150</v>
      </c>
      <c r="K31" s="9"/>
      <c r="L31" s="9"/>
      <c r="M31" s="15">
        <f t="shared" si="3"/>
        <v>80</v>
      </c>
    </row>
    <row r="32" spans="1:13" ht="13.5" x14ac:dyDescent="0.25">
      <c r="A32" s="39">
        <v>21</v>
      </c>
      <c r="B32" s="38">
        <v>78</v>
      </c>
      <c r="C32" s="38">
        <v>70</v>
      </c>
      <c r="D32" s="40">
        <f t="shared" si="0"/>
        <v>74</v>
      </c>
      <c r="E32" s="40">
        <f t="shared" si="1"/>
        <v>0</v>
      </c>
      <c r="F32" s="40">
        <f t="shared" si="2"/>
        <v>9</v>
      </c>
      <c r="G32" s="61">
        <v>0</v>
      </c>
      <c r="H32" s="41">
        <v>0</v>
      </c>
      <c r="I32" s="38">
        <v>17</v>
      </c>
      <c r="J32" s="148">
        <v>140</v>
      </c>
      <c r="K32" s="9"/>
      <c r="L32" s="9"/>
      <c r="M32" s="15">
        <f t="shared" si="3"/>
        <v>74</v>
      </c>
    </row>
    <row r="33" spans="1:13" ht="13.5" x14ac:dyDescent="0.25">
      <c r="A33" s="39">
        <v>22</v>
      </c>
      <c r="B33" s="38">
        <v>82</v>
      </c>
      <c r="C33" s="38">
        <v>67</v>
      </c>
      <c r="D33" s="40">
        <f t="shared" si="0"/>
        <v>74.5</v>
      </c>
      <c r="E33" s="40">
        <f t="shared" si="1"/>
        <v>0</v>
      </c>
      <c r="F33" s="40">
        <f t="shared" si="2"/>
        <v>9.5</v>
      </c>
      <c r="G33" s="61">
        <v>0</v>
      </c>
      <c r="H33" s="41">
        <v>0</v>
      </c>
      <c r="I33" s="38">
        <v>17</v>
      </c>
      <c r="J33" s="148">
        <v>50</v>
      </c>
      <c r="K33" s="9"/>
      <c r="L33" s="9"/>
      <c r="M33" s="15">
        <f t="shared" si="3"/>
        <v>74.5</v>
      </c>
    </row>
    <row r="34" spans="1:13" ht="13.5" x14ac:dyDescent="0.25">
      <c r="A34" s="39">
        <v>23</v>
      </c>
      <c r="B34" s="38">
        <v>70</v>
      </c>
      <c r="C34" s="38">
        <v>59</v>
      </c>
      <c r="D34" s="40">
        <f t="shared" si="0"/>
        <v>64.5</v>
      </c>
      <c r="E34" s="40">
        <f t="shared" si="1"/>
        <v>0.5</v>
      </c>
      <c r="F34" s="40">
        <f t="shared" si="2"/>
        <v>0</v>
      </c>
      <c r="G34" s="61">
        <v>0.24</v>
      </c>
      <c r="H34" s="41">
        <v>0</v>
      </c>
      <c r="I34" s="38">
        <v>17</v>
      </c>
      <c r="J34" s="148">
        <v>40</v>
      </c>
      <c r="K34" s="9"/>
      <c r="L34" s="9"/>
      <c r="M34" s="15">
        <f t="shared" si="3"/>
        <v>64.5</v>
      </c>
    </row>
    <row r="35" spans="1:13" ht="13.5" x14ac:dyDescent="0.25">
      <c r="A35" s="39">
        <v>24</v>
      </c>
      <c r="B35" s="38">
        <v>75</v>
      </c>
      <c r="C35" s="38">
        <v>56</v>
      </c>
      <c r="D35" s="40">
        <f t="shared" si="0"/>
        <v>65.5</v>
      </c>
      <c r="E35" s="40">
        <f t="shared" si="1"/>
        <v>0</v>
      </c>
      <c r="F35" s="40">
        <f t="shared" si="2"/>
        <v>0.5</v>
      </c>
      <c r="G35" s="61">
        <v>0.06</v>
      </c>
      <c r="H35" s="41">
        <v>0</v>
      </c>
      <c r="I35" s="38">
        <v>21</v>
      </c>
      <c r="J35" s="148">
        <v>350</v>
      </c>
      <c r="K35" s="9"/>
      <c r="L35" s="9"/>
      <c r="M35" s="15">
        <f t="shared" si="3"/>
        <v>65.5</v>
      </c>
    </row>
    <row r="36" spans="1:13" ht="13.5" x14ac:dyDescent="0.25">
      <c r="A36" s="39">
        <v>25</v>
      </c>
      <c r="B36" s="38">
        <v>86</v>
      </c>
      <c r="C36" s="38">
        <v>50</v>
      </c>
      <c r="D36" s="40">
        <f t="shared" si="0"/>
        <v>68</v>
      </c>
      <c r="E36" s="40">
        <f t="shared" si="1"/>
        <v>0</v>
      </c>
      <c r="F36" s="40">
        <f t="shared" si="2"/>
        <v>3</v>
      </c>
      <c r="G36" s="61">
        <v>0</v>
      </c>
      <c r="H36" s="41">
        <v>0</v>
      </c>
      <c r="I36" s="38">
        <v>18</v>
      </c>
      <c r="J36" s="148">
        <v>30</v>
      </c>
      <c r="K36" s="9"/>
      <c r="L36" s="9"/>
      <c r="M36" s="15">
        <f t="shared" si="3"/>
        <v>68</v>
      </c>
    </row>
    <row r="37" spans="1:13" ht="13.5" x14ac:dyDescent="0.25">
      <c r="A37" s="39">
        <v>26</v>
      </c>
      <c r="B37" s="38">
        <v>70</v>
      </c>
      <c r="C37" s="38">
        <v>52</v>
      </c>
      <c r="D37" s="40">
        <f t="shared" si="0"/>
        <v>61</v>
      </c>
      <c r="E37" s="40">
        <f t="shared" si="1"/>
        <v>4</v>
      </c>
      <c r="F37" s="40">
        <f t="shared" si="2"/>
        <v>0</v>
      </c>
      <c r="G37" s="61">
        <v>0</v>
      </c>
      <c r="H37" s="41">
        <v>0</v>
      </c>
      <c r="I37" s="38">
        <v>25</v>
      </c>
      <c r="J37" s="148">
        <v>20</v>
      </c>
      <c r="K37" s="9"/>
      <c r="L37" s="9"/>
      <c r="M37" s="15">
        <f t="shared" si="3"/>
        <v>61</v>
      </c>
    </row>
    <row r="38" spans="1:13" ht="13.5" x14ac:dyDescent="0.25">
      <c r="A38" s="39">
        <v>27</v>
      </c>
      <c r="B38" s="38">
        <v>65</v>
      </c>
      <c r="C38" s="38">
        <v>48</v>
      </c>
      <c r="D38" s="40">
        <f t="shared" si="0"/>
        <v>56.5</v>
      </c>
      <c r="E38" s="40">
        <f t="shared" si="1"/>
        <v>8.5</v>
      </c>
      <c r="F38" s="40">
        <f t="shared" si="2"/>
        <v>0</v>
      </c>
      <c r="G38" s="61">
        <v>0</v>
      </c>
      <c r="H38" s="41">
        <v>0</v>
      </c>
      <c r="I38" s="38">
        <v>12</v>
      </c>
      <c r="J38" s="149">
        <v>50</v>
      </c>
      <c r="K38" s="9"/>
      <c r="L38" s="9"/>
      <c r="M38" s="15">
        <f t="shared" si="3"/>
        <v>56.5</v>
      </c>
    </row>
    <row r="39" spans="1:13" ht="13.5" x14ac:dyDescent="0.25">
      <c r="A39" s="39">
        <v>28</v>
      </c>
      <c r="B39" s="38">
        <v>68</v>
      </c>
      <c r="C39" s="38">
        <v>57</v>
      </c>
      <c r="D39" s="40">
        <f t="shared" si="0"/>
        <v>62.5</v>
      </c>
      <c r="E39" s="40">
        <f t="shared" si="1"/>
        <v>2.5</v>
      </c>
      <c r="F39" s="40">
        <f t="shared" si="2"/>
        <v>0</v>
      </c>
      <c r="G39" s="61">
        <v>7.0000000000000007E-2</v>
      </c>
      <c r="H39" s="41">
        <v>0</v>
      </c>
      <c r="I39" s="38">
        <v>23</v>
      </c>
      <c r="J39" s="148">
        <v>140</v>
      </c>
      <c r="K39" s="9"/>
      <c r="L39" s="9"/>
      <c r="M39" s="15">
        <f t="shared" si="3"/>
        <v>62.5</v>
      </c>
    </row>
    <row r="40" spans="1:13" ht="13.5" x14ac:dyDescent="0.25">
      <c r="A40" s="39">
        <v>29</v>
      </c>
      <c r="B40" s="38">
        <v>80</v>
      </c>
      <c r="C40" s="38">
        <v>60</v>
      </c>
      <c r="D40" s="40">
        <f t="shared" si="0"/>
        <v>70</v>
      </c>
      <c r="E40" s="40">
        <f t="shared" si="1"/>
        <v>0</v>
      </c>
      <c r="F40" s="40">
        <f t="shared" si="2"/>
        <v>5</v>
      </c>
      <c r="G40" s="61">
        <v>0</v>
      </c>
      <c r="H40" s="41">
        <v>0</v>
      </c>
      <c r="I40" s="38">
        <v>21</v>
      </c>
      <c r="J40" s="148">
        <v>200</v>
      </c>
      <c r="K40" s="9"/>
      <c r="L40" s="9"/>
      <c r="M40" s="15">
        <f t="shared" si="3"/>
        <v>70</v>
      </c>
    </row>
    <row r="41" spans="1:13" ht="13.5" x14ac:dyDescent="0.25">
      <c r="A41" s="39">
        <v>30</v>
      </c>
      <c r="B41" s="38">
        <v>67</v>
      </c>
      <c r="C41" s="38">
        <v>49</v>
      </c>
      <c r="D41" s="40">
        <f t="shared" si="0"/>
        <v>58</v>
      </c>
      <c r="E41" s="40">
        <f t="shared" si="1"/>
        <v>7</v>
      </c>
      <c r="F41" s="40">
        <f t="shared" si="2"/>
        <v>0</v>
      </c>
      <c r="G41" s="61">
        <v>0</v>
      </c>
      <c r="H41" s="41">
        <v>0</v>
      </c>
      <c r="I41" s="38"/>
      <c r="J41" s="148"/>
      <c r="K41" s="9"/>
      <c r="L41" s="9"/>
      <c r="M41" s="15">
        <f t="shared" si="3"/>
        <v>58</v>
      </c>
    </row>
    <row r="42" spans="1:13" ht="14.25" thickBot="1" x14ac:dyDescent="0.3">
      <c r="A42" s="30" t="s">
        <v>24</v>
      </c>
      <c r="B42" s="31" t="s">
        <v>25</v>
      </c>
      <c r="C42" s="31" t="s">
        <v>25</v>
      </c>
      <c r="D42" s="44">
        <f>SUM(D12:D41)</f>
        <v>2051</v>
      </c>
      <c r="E42" s="44">
        <f>SUM(E12:E41)</f>
        <v>50</v>
      </c>
      <c r="F42" s="44">
        <f>SUM(F12:F41)</f>
        <v>151</v>
      </c>
      <c r="G42" s="196">
        <f>SUM(G12:G41)</f>
        <v>0.37</v>
      </c>
      <c r="H42" s="45">
        <v>0</v>
      </c>
      <c r="I42" s="44" t="s">
        <v>25</v>
      </c>
      <c r="J42" s="191" t="s">
        <v>25</v>
      </c>
      <c r="K42" s="9"/>
      <c r="L42" s="9"/>
      <c r="M42" s="15">
        <f>IF(D42=0,65,D42)</f>
        <v>2051</v>
      </c>
    </row>
    <row r="43" spans="1:13" ht="13.5" x14ac:dyDescent="0.25">
      <c r="A43" s="39" t="s">
        <v>26</v>
      </c>
      <c r="B43" s="35">
        <f>MAXA(B12:B41)</f>
        <v>92</v>
      </c>
      <c r="C43" s="35">
        <f>MINA(C12:C41)</f>
        <v>36</v>
      </c>
      <c r="D43" s="40">
        <f>(B43+C43)/2</f>
        <v>64</v>
      </c>
      <c r="E43" s="40">
        <f>IF(65-D43&gt;0,65-M43,0)</f>
        <v>65</v>
      </c>
      <c r="F43" s="40">
        <f>IF((D43)-65&lt;0,0,(D43)-65)</f>
        <v>0</v>
      </c>
      <c r="G43" s="61">
        <f>MAXA(G13:G41)</f>
        <v>0.24</v>
      </c>
      <c r="H43" s="41">
        <v>0</v>
      </c>
      <c r="I43" s="35">
        <f>MAXA(I12:I41)</f>
        <v>33</v>
      </c>
      <c r="J43" s="147">
        <v>10</v>
      </c>
      <c r="K43" s="9"/>
      <c r="L43" s="9"/>
      <c r="M43" s="9"/>
    </row>
    <row r="44" spans="1:13" ht="13.5" x14ac:dyDescent="0.25">
      <c r="A44" s="39" t="s">
        <v>27</v>
      </c>
      <c r="B44" s="40">
        <f>AVERAGEA(B12:B41)</f>
        <v>80.13333333333334</v>
      </c>
      <c r="C44" s="40">
        <f>AVERAGEA(C12:C41)</f>
        <v>56.6</v>
      </c>
      <c r="D44" s="40">
        <f>(B44+C44)/2</f>
        <v>68.366666666666674</v>
      </c>
      <c r="E44" s="40">
        <f>IF(65-D44&gt;0,65-M44,0)</f>
        <v>0</v>
      </c>
      <c r="F44" s="40">
        <f>IF((D44)-65&lt;0,0,(D44)-65)</f>
        <v>3.3666666666666742</v>
      </c>
      <c r="G44" s="61">
        <f>AVERAGEA(G12:G41)</f>
        <v>1.2333333333333333E-2</v>
      </c>
      <c r="H44" s="41">
        <f>AVERAGEA(H12:H41)</f>
        <v>0</v>
      </c>
      <c r="I44" s="40">
        <f>AVERAGEA(I12:I41)</f>
        <v>18.758620689655171</v>
      </c>
      <c r="J44" s="173">
        <f>AVERAGEA(J12:J41)</f>
        <v>122.06896551724138</v>
      </c>
      <c r="K44" s="9"/>
      <c r="L44" s="9"/>
      <c r="M44" s="9"/>
    </row>
    <row r="45" spans="1:13" ht="13.5" x14ac:dyDescent="0.25">
      <c r="A45" s="39" t="s">
        <v>28</v>
      </c>
      <c r="B45" s="35">
        <v>93</v>
      </c>
      <c r="C45" s="35">
        <v>21</v>
      </c>
      <c r="D45" s="40">
        <v>62</v>
      </c>
      <c r="E45" s="40">
        <f>AVERAGEA(E13:E41)</f>
        <v>1.6724137931034482</v>
      </c>
      <c r="F45" s="40">
        <f>AVERAGEA(F13:F41)</f>
        <v>5.2068965517241379</v>
      </c>
      <c r="G45" s="61">
        <v>1.9</v>
      </c>
      <c r="H45" s="41" t="s">
        <v>25</v>
      </c>
      <c r="I45" s="35">
        <v>9</v>
      </c>
      <c r="J45" s="222">
        <v>10</v>
      </c>
      <c r="K45" s="9"/>
      <c r="L45" s="9"/>
      <c r="M45" s="9"/>
    </row>
    <row r="46" spans="1:13" ht="13.5" x14ac:dyDescent="0.25">
      <c r="A46" s="27" t="s">
        <v>29</v>
      </c>
      <c r="B46" s="34"/>
      <c r="C46" s="34"/>
      <c r="D46" s="145"/>
      <c r="E46" s="145"/>
      <c r="F46" s="145"/>
      <c r="G46" s="155">
        <f>(G42-G45)</f>
        <v>-1.5299999999999998</v>
      </c>
      <c r="H46" s="34"/>
      <c r="I46" s="38"/>
      <c r="J46" s="29"/>
      <c r="K46" s="9"/>
      <c r="L46" s="9"/>
      <c r="M46" s="9"/>
    </row>
    <row r="47" spans="1:13" ht="13.5" x14ac:dyDescent="0.25">
      <c r="A47" s="192" t="s">
        <v>63</v>
      </c>
      <c r="B47" s="219"/>
      <c r="C47" s="219"/>
      <c r="D47" s="219"/>
      <c r="E47" s="219"/>
      <c r="F47" s="219"/>
      <c r="G47" s="219"/>
      <c r="H47" s="219"/>
      <c r="I47" s="219"/>
      <c r="J47" s="220"/>
      <c r="K47" s="221"/>
      <c r="L47" s="9"/>
      <c r="M47" s="9"/>
    </row>
    <row r="48" spans="1:13" ht="14.25" thickBot="1" x14ac:dyDescent="0.3">
      <c r="A48" s="159"/>
      <c r="B48" s="160"/>
      <c r="C48" s="160"/>
      <c r="D48" s="160"/>
      <c r="E48" s="160"/>
      <c r="F48" s="160"/>
      <c r="G48" s="160"/>
      <c r="H48" s="160"/>
      <c r="I48" s="160"/>
      <c r="J48" s="52"/>
      <c r="K48" s="9"/>
      <c r="L48" s="9"/>
      <c r="M48" s="9"/>
    </row>
    <row r="49" spans="1:13" ht="13.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1" spans="1:13" x14ac:dyDescent="0.2">
      <c r="A51" s="203"/>
      <c r="B51" s="227" t="s">
        <v>31</v>
      </c>
      <c r="C51" s="227"/>
      <c r="D51" s="227"/>
      <c r="E51" s="227"/>
      <c r="F51" s="227"/>
      <c r="G51" s="227" t="s">
        <v>72</v>
      </c>
      <c r="H51" s="227"/>
      <c r="I51" s="227"/>
      <c r="J51" s="203" t="s">
        <v>73</v>
      </c>
    </row>
    <row r="52" spans="1:13" ht="25.5" x14ac:dyDescent="0.2">
      <c r="A52" s="203"/>
      <c r="B52" s="205" t="s">
        <v>66</v>
      </c>
      <c r="C52" s="205" t="s">
        <v>67</v>
      </c>
      <c r="D52" s="203" t="s">
        <v>16</v>
      </c>
      <c r="E52" s="205" t="s">
        <v>69</v>
      </c>
      <c r="F52" s="205" t="s">
        <v>68</v>
      </c>
      <c r="G52" s="205" t="s">
        <v>12</v>
      </c>
      <c r="H52" s="203" t="s">
        <v>16</v>
      </c>
      <c r="I52" s="205" t="s">
        <v>71</v>
      </c>
      <c r="J52" s="205" t="s">
        <v>70</v>
      </c>
    </row>
    <row r="53" spans="1:13" ht="25.5" x14ac:dyDescent="0.2">
      <c r="A53" s="205" t="s">
        <v>64</v>
      </c>
      <c r="B53" s="35">
        <f>MAXA(B11:B41)</f>
        <v>92</v>
      </c>
      <c r="C53" s="40">
        <f>AVERAGEA(B11:B41)</f>
        <v>80.13333333333334</v>
      </c>
      <c r="D53" s="40">
        <f>(B44+C44)/2</f>
        <v>68.366666666666674</v>
      </c>
      <c r="E53" s="40">
        <f>AVERAGEA(C11:C41)</f>
        <v>56.6</v>
      </c>
      <c r="F53" s="35">
        <f>MINA(C11:C41)</f>
        <v>36</v>
      </c>
      <c r="G53" s="61">
        <f>SUM(G11:G41)</f>
        <v>0.37</v>
      </c>
      <c r="H53" s="61">
        <f>AVERAGEA(G11:G41)</f>
        <v>1.2333333333333333E-2</v>
      </c>
      <c r="I53" s="61">
        <f>MAXA(G11:G39)</f>
        <v>0.24</v>
      </c>
      <c r="J53" s="206">
        <f>MAXA(I11:I39)</f>
        <v>33</v>
      </c>
    </row>
    <row r="54" spans="1:13" x14ac:dyDescent="0.2">
      <c r="A54" s="203" t="s">
        <v>65</v>
      </c>
      <c r="B54" s="204">
        <v>93</v>
      </c>
      <c r="C54" s="204">
        <v>73</v>
      </c>
      <c r="D54" s="204">
        <v>62</v>
      </c>
      <c r="E54" s="204">
        <v>52</v>
      </c>
      <c r="F54" s="204">
        <v>21</v>
      </c>
      <c r="G54" s="204">
        <v>10.7</v>
      </c>
      <c r="H54" s="204">
        <v>1.9</v>
      </c>
      <c r="I54" s="204">
        <v>4.3</v>
      </c>
      <c r="J54" s="204">
        <v>59</v>
      </c>
    </row>
  </sheetData>
  <mergeCells count="3">
    <mergeCell ref="I7:J7"/>
    <mergeCell ref="B51:F51"/>
    <mergeCell ref="G51:I51"/>
  </mergeCells>
  <phoneticPr fontId="0" type="noConversion"/>
  <conditionalFormatting sqref="E53">
    <cfRule type="cellIs" dxfId="17" priority="1" stopIfTrue="1" operator="lessThan">
      <formula>$E$55</formula>
    </cfRule>
  </conditionalFormatting>
  <conditionalFormatting sqref="F53">
    <cfRule type="cellIs" dxfId="16" priority="2" stopIfTrue="1" operator="lessThan">
      <formula>$F$55</formula>
    </cfRule>
  </conditionalFormatting>
  <conditionalFormatting sqref="B53">
    <cfRule type="cellIs" dxfId="15" priority="3" stopIfTrue="1" operator="greaterThan">
      <formula>$B$54</formula>
    </cfRule>
  </conditionalFormatting>
  <conditionalFormatting sqref="C53">
    <cfRule type="cellIs" dxfId="14" priority="4" stopIfTrue="1" operator="greaterThan">
      <formula>$C$54</formula>
    </cfRule>
  </conditionalFormatting>
  <conditionalFormatting sqref="D53">
    <cfRule type="cellIs" dxfId="13" priority="5" stopIfTrue="1" operator="lessThanOrEqual">
      <formula>$D$54</formula>
    </cfRule>
    <cfRule type="cellIs" dxfId="12" priority="6" stopIfTrue="1" operator="greaterThan">
      <formula>$D$54</formula>
    </cfRule>
  </conditionalFormatting>
  <conditionalFormatting sqref="G53">
    <cfRule type="cellIs" dxfId="11" priority="7" stopIfTrue="1" operator="greaterThan">
      <formula>$G$54</formula>
    </cfRule>
  </conditionalFormatting>
  <conditionalFormatting sqref="I53">
    <cfRule type="cellIs" dxfId="10" priority="8" stopIfTrue="1" operator="greaterThan">
      <formula>$I$54</formula>
    </cfRule>
  </conditionalFormatting>
  <conditionalFormatting sqref="J53">
    <cfRule type="cellIs" dxfId="9" priority="9" stopIfTrue="1" operator="greaterThan">
      <formula>$J$54</formula>
    </cfRule>
  </conditionalFormatting>
  <pageMargins left="0.75" right="0.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2D91-28EB-4FCD-B393-545999D85CDF}">
  <sheetPr codeName="Sheet12"/>
  <dimension ref="A1:M55"/>
  <sheetViews>
    <sheetView tabSelected="1" zoomScaleNormal="100" workbookViewId="0">
      <selection activeCell="H36" sqref="H36"/>
    </sheetView>
  </sheetViews>
  <sheetFormatPr defaultRowHeight="12.75" x14ac:dyDescent="0.2"/>
  <cols>
    <col min="9" max="9" width="10.140625" customWidth="1"/>
    <col min="10" max="10" width="10.42578125" customWidth="1"/>
  </cols>
  <sheetData>
    <row r="1" spans="1:13" ht="13.5" thickBot="1" x14ac:dyDescent="0.25">
      <c r="A1" s="23"/>
      <c r="B1" s="179"/>
      <c r="C1" s="179"/>
      <c r="D1" s="179"/>
      <c r="E1" s="179"/>
      <c r="F1" s="179"/>
      <c r="G1" s="179"/>
      <c r="H1" s="179"/>
      <c r="I1" s="179"/>
      <c r="J1" s="26"/>
    </row>
    <row r="2" spans="1:13" ht="15.75" x14ac:dyDescent="0.25">
      <c r="A2" s="75" t="s">
        <v>79</v>
      </c>
      <c r="B2" s="65"/>
      <c r="C2" s="76"/>
      <c r="D2" s="77"/>
      <c r="E2" s="77"/>
      <c r="F2" s="77"/>
      <c r="G2" s="77"/>
      <c r="H2" s="77"/>
      <c r="I2" s="77"/>
      <c r="J2" s="78"/>
      <c r="K2" s="4"/>
      <c r="L2" s="4"/>
      <c r="M2" s="4"/>
    </row>
    <row r="3" spans="1:13" ht="15.75" x14ac:dyDescent="0.25">
      <c r="A3" s="67" t="s">
        <v>0</v>
      </c>
      <c r="B3" s="63"/>
      <c r="C3" s="68"/>
      <c r="D3" s="69"/>
      <c r="E3" s="69"/>
      <c r="F3" s="69"/>
      <c r="G3" s="69"/>
      <c r="H3" s="69"/>
      <c r="I3" s="63"/>
      <c r="J3" s="70"/>
      <c r="K3" s="4"/>
      <c r="L3" s="4"/>
      <c r="M3" s="4"/>
    </row>
    <row r="4" spans="1:13" ht="15.75" x14ac:dyDescent="0.25">
      <c r="A4" s="71" t="s">
        <v>1</v>
      </c>
      <c r="B4" s="63"/>
      <c r="C4" s="68"/>
      <c r="D4" s="69"/>
      <c r="E4" s="69"/>
      <c r="F4" s="72"/>
      <c r="G4" s="69"/>
      <c r="H4" s="69"/>
      <c r="I4" s="63"/>
      <c r="J4" s="70"/>
      <c r="K4" s="4"/>
      <c r="L4" s="4"/>
      <c r="M4" s="4"/>
    </row>
    <row r="5" spans="1:13" ht="15.75" x14ac:dyDescent="0.25">
      <c r="A5" s="73" t="s">
        <v>92</v>
      </c>
      <c r="B5" s="69"/>
      <c r="C5" s="74"/>
      <c r="D5" s="69"/>
      <c r="E5" s="69"/>
      <c r="F5" s="69"/>
      <c r="G5" s="69"/>
      <c r="H5" s="69"/>
      <c r="I5" s="69"/>
      <c r="J5" s="70"/>
      <c r="K5" s="4"/>
      <c r="L5" s="4"/>
      <c r="M5" s="4"/>
    </row>
    <row r="6" spans="1:13" ht="16.5" thickBot="1" x14ac:dyDescent="0.3">
      <c r="A6" s="79"/>
      <c r="B6" s="80"/>
      <c r="C6" s="80"/>
      <c r="D6" s="80"/>
      <c r="E6" s="80"/>
      <c r="F6" s="80"/>
      <c r="G6" s="80"/>
      <c r="H6" s="80"/>
      <c r="I6" s="80"/>
      <c r="J6" s="81"/>
      <c r="K6" s="58"/>
      <c r="L6" s="58"/>
      <c r="M6" s="4"/>
    </row>
    <row r="7" spans="1:13" ht="13.5" x14ac:dyDescent="0.25">
      <c r="A7" s="82"/>
      <c r="B7" s="83" t="s">
        <v>2</v>
      </c>
      <c r="C7" s="84"/>
      <c r="D7" s="84"/>
      <c r="E7" s="84"/>
      <c r="F7" s="84"/>
      <c r="G7" s="85" t="s">
        <v>3</v>
      </c>
      <c r="H7" s="84"/>
      <c r="I7" s="83" t="s">
        <v>4</v>
      </c>
      <c r="J7" s="86"/>
      <c r="K7" s="9"/>
      <c r="L7" s="9"/>
      <c r="M7" s="9"/>
    </row>
    <row r="8" spans="1:13" ht="13.5" x14ac:dyDescent="0.25">
      <c r="A8" s="82"/>
      <c r="B8" s="84"/>
      <c r="C8" s="84"/>
      <c r="D8" s="85" t="s">
        <v>5</v>
      </c>
      <c r="E8" s="84"/>
      <c r="F8" s="84"/>
      <c r="G8" s="83" t="s">
        <v>6</v>
      </c>
      <c r="H8" s="143" t="s">
        <v>7</v>
      </c>
      <c r="I8" s="84"/>
      <c r="J8" s="86"/>
      <c r="K8" s="9"/>
      <c r="L8" s="9"/>
      <c r="M8" s="9"/>
    </row>
    <row r="9" spans="1:13" ht="13.5" x14ac:dyDescent="0.25">
      <c r="A9" s="82"/>
      <c r="B9" s="85" t="s">
        <v>8</v>
      </c>
      <c r="C9" s="84"/>
      <c r="D9" s="85" t="s">
        <v>9</v>
      </c>
      <c r="E9" s="84"/>
      <c r="F9" s="84"/>
      <c r="G9" s="83" t="s">
        <v>10</v>
      </c>
      <c r="H9" s="143" t="s">
        <v>11</v>
      </c>
      <c r="I9" s="143" t="s">
        <v>12</v>
      </c>
      <c r="J9" s="177" t="s">
        <v>13</v>
      </c>
      <c r="K9" s="9"/>
      <c r="L9" s="9"/>
      <c r="M9" s="9"/>
    </row>
    <row r="10" spans="1:13" ht="13.5" x14ac:dyDescent="0.25">
      <c r="A10" s="91" t="s">
        <v>14</v>
      </c>
      <c r="B10" s="83" t="s">
        <v>12</v>
      </c>
      <c r="C10" s="83" t="s">
        <v>15</v>
      </c>
      <c r="D10" s="83" t="s">
        <v>16</v>
      </c>
      <c r="E10" s="83" t="s">
        <v>17</v>
      </c>
      <c r="F10" s="83" t="s">
        <v>18</v>
      </c>
      <c r="G10" s="83" t="s">
        <v>19</v>
      </c>
      <c r="H10" s="83" t="s">
        <v>20</v>
      </c>
      <c r="I10" s="83" t="s">
        <v>21</v>
      </c>
      <c r="J10" s="92" t="s">
        <v>22</v>
      </c>
      <c r="K10" s="10" t="s">
        <v>23</v>
      </c>
      <c r="L10" s="9"/>
      <c r="M10" s="9"/>
    </row>
    <row r="11" spans="1:13" ht="14.25" thickBot="1" x14ac:dyDescent="0.3">
      <c r="A11" s="30"/>
      <c r="B11" s="31"/>
      <c r="C11" s="31"/>
      <c r="D11" s="31"/>
      <c r="E11" s="31"/>
      <c r="F11" s="31"/>
      <c r="G11" s="31"/>
      <c r="H11" s="31"/>
      <c r="I11" s="31"/>
      <c r="J11" s="144"/>
      <c r="K11" s="60"/>
      <c r="L11" s="59"/>
      <c r="M11" s="9"/>
    </row>
    <row r="12" spans="1:13" ht="13.5" x14ac:dyDescent="0.25">
      <c r="A12" s="39">
        <v>1</v>
      </c>
      <c r="B12" s="35">
        <v>52</v>
      </c>
      <c r="C12" s="35">
        <v>42</v>
      </c>
      <c r="D12" s="40">
        <f t="shared" ref="D12:D42" si="0">(B12+C12)/2</f>
        <v>47</v>
      </c>
      <c r="E12" s="40">
        <f t="shared" ref="E12:E42" si="1">IF(65-D12&gt;0,65-M12,0)</f>
        <v>18</v>
      </c>
      <c r="F12" s="40">
        <f t="shared" ref="F12:F42" si="2">IF((D12)-65&lt;0,0,(D12)-65)</f>
        <v>0</v>
      </c>
      <c r="G12" s="146">
        <v>0</v>
      </c>
      <c r="H12" s="41">
        <v>0</v>
      </c>
      <c r="I12" s="35">
        <v>19</v>
      </c>
      <c r="J12" s="147">
        <v>20</v>
      </c>
      <c r="K12" s="9"/>
      <c r="L12" s="9"/>
      <c r="M12" s="15">
        <f t="shared" ref="M12:M42" si="3">IF(D12=0,65,D12)</f>
        <v>47</v>
      </c>
    </row>
    <row r="13" spans="1:13" ht="13.5" x14ac:dyDescent="0.25">
      <c r="A13" s="39">
        <v>2</v>
      </c>
      <c r="B13" s="35">
        <v>57</v>
      </c>
      <c r="C13" s="35">
        <v>37</v>
      </c>
      <c r="D13" s="40">
        <f t="shared" si="0"/>
        <v>47</v>
      </c>
      <c r="E13" s="40">
        <f t="shared" si="1"/>
        <v>18</v>
      </c>
      <c r="F13" s="40">
        <f t="shared" si="2"/>
        <v>0</v>
      </c>
      <c r="G13" s="61">
        <v>0</v>
      </c>
      <c r="H13" s="41">
        <v>0</v>
      </c>
      <c r="I13" s="35">
        <v>14</v>
      </c>
      <c r="J13" s="147">
        <v>10</v>
      </c>
      <c r="K13" s="9"/>
      <c r="L13" s="9"/>
      <c r="M13" s="15">
        <f t="shared" si="3"/>
        <v>47</v>
      </c>
    </row>
    <row r="14" spans="1:13" ht="13.5" x14ac:dyDescent="0.25">
      <c r="A14" s="39">
        <v>3</v>
      </c>
      <c r="B14" s="35">
        <v>59</v>
      </c>
      <c r="C14" s="35">
        <v>36</v>
      </c>
      <c r="D14" s="40">
        <f t="shared" si="0"/>
        <v>47.5</v>
      </c>
      <c r="E14" s="40">
        <f t="shared" si="1"/>
        <v>17.5</v>
      </c>
      <c r="F14" s="40">
        <f t="shared" si="2"/>
        <v>0</v>
      </c>
      <c r="G14" s="61">
        <v>0</v>
      </c>
      <c r="H14" s="41">
        <v>0</v>
      </c>
      <c r="I14" s="35">
        <v>10</v>
      </c>
      <c r="J14" s="147">
        <v>40</v>
      </c>
      <c r="K14" s="9"/>
      <c r="L14" s="9"/>
      <c r="M14" s="15">
        <f t="shared" si="3"/>
        <v>47.5</v>
      </c>
    </row>
    <row r="15" spans="1:13" ht="13.5" x14ac:dyDescent="0.25">
      <c r="A15" s="39">
        <v>4</v>
      </c>
      <c r="B15" s="35">
        <v>58</v>
      </c>
      <c r="C15" s="35">
        <v>47</v>
      </c>
      <c r="D15" s="40">
        <f t="shared" si="0"/>
        <v>52.5</v>
      </c>
      <c r="E15" s="40">
        <f t="shared" si="1"/>
        <v>12.5</v>
      </c>
      <c r="F15" s="40">
        <f t="shared" si="2"/>
        <v>0</v>
      </c>
      <c r="G15" s="61">
        <v>0.03</v>
      </c>
      <c r="H15" s="41">
        <v>0</v>
      </c>
      <c r="I15" s="35">
        <v>25</v>
      </c>
      <c r="J15" s="147">
        <v>360</v>
      </c>
      <c r="K15" s="9"/>
      <c r="L15" s="9"/>
      <c r="M15" s="15">
        <f t="shared" si="3"/>
        <v>52.5</v>
      </c>
    </row>
    <row r="16" spans="1:13" ht="13.5" x14ac:dyDescent="0.25">
      <c r="A16" s="39">
        <v>5</v>
      </c>
      <c r="B16" s="35">
        <v>56</v>
      </c>
      <c r="C16" s="35">
        <v>46</v>
      </c>
      <c r="D16" s="40">
        <f t="shared" si="0"/>
        <v>51</v>
      </c>
      <c r="E16" s="40">
        <f t="shared" si="1"/>
        <v>14</v>
      </c>
      <c r="F16" s="40">
        <f t="shared" si="2"/>
        <v>0</v>
      </c>
      <c r="G16" s="61">
        <v>0</v>
      </c>
      <c r="H16" s="41">
        <v>0</v>
      </c>
      <c r="I16" s="35">
        <v>13</v>
      </c>
      <c r="J16" s="147">
        <v>150</v>
      </c>
      <c r="K16" s="9"/>
      <c r="L16" s="9"/>
      <c r="M16" s="15">
        <f t="shared" si="3"/>
        <v>51</v>
      </c>
    </row>
    <row r="17" spans="1:13" ht="13.5" x14ac:dyDescent="0.25">
      <c r="A17" s="39">
        <v>6</v>
      </c>
      <c r="B17" s="35">
        <v>79</v>
      </c>
      <c r="C17" s="35">
        <v>47</v>
      </c>
      <c r="D17" s="40">
        <f t="shared" si="0"/>
        <v>63</v>
      </c>
      <c r="E17" s="40">
        <f t="shared" si="1"/>
        <v>2</v>
      </c>
      <c r="F17" s="40">
        <f t="shared" si="2"/>
        <v>0</v>
      </c>
      <c r="G17" s="61">
        <v>0</v>
      </c>
      <c r="H17" s="41">
        <v>0</v>
      </c>
      <c r="I17" s="35">
        <v>13</v>
      </c>
      <c r="J17" s="147">
        <v>170</v>
      </c>
      <c r="K17" s="9"/>
      <c r="L17" s="9"/>
      <c r="M17" s="15">
        <f t="shared" si="3"/>
        <v>63</v>
      </c>
    </row>
    <row r="18" spans="1:13" ht="13.5" x14ac:dyDescent="0.25">
      <c r="A18" s="39">
        <v>7</v>
      </c>
      <c r="B18" s="38">
        <v>82</v>
      </c>
      <c r="C18" s="38">
        <v>54</v>
      </c>
      <c r="D18" s="40">
        <f t="shared" si="0"/>
        <v>68</v>
      </c>
      <c r="E18" s="40">
        <f t="shared" si="1"/>
        <v>0</v>
      </c>
      <c r="F18" s="40">
        <f t="shared" si="2"/>
        <v>3</v>
      </c>
      <c r="G18" s="61">
        <v>0</v>
      </c>
      <c r="H18" s="41">
        <v>0</v>
      </c>
      <c r="I18" s="38">
        <v>26</v>
      </c>
      <c r="J18" s="149">
        <v>330</v>
      </c>
      <c r="K18" s="9"/>
      <c r="L18" s="9"/>
      <c r="M18" s="15">
        <f t="shared" si="3"/>
        <v>68</v>
      </c>
    </row>
    <row r="19" spans="1:13" ht="13.5" x14ac:dyDescent="0.25">
      <c r="A19" s="39">
        <v>8</v>
      </c>
      <c r="B19" s="38">
        <v>66</v>
      </c>
      <c r="C19" s="38">
        <v>39</v>
      </c>
      <c r="D19" s="40">
        <f t="shared" si="0"/>
        <v>52.5</v>
      </c>
      <c r="E19" s="40">
        <f t="shared" si="1"/>
        <v>12.5</v>
      </c>
      <c r="F19" s="40">
        <f t="shared" si="2"/>
        <v>0</v>
      </c>
      <c r="G19" s="61">
        <v>0</v>
      </c>
      <c r="H19" s="41">
        <v>0</v>
      </c>
      <c r="I19" s="38">
        <v>17</v>
      </c>
      <c r="J19" s="148">
        <v>350</v>
      </c>
      <c r="K19" s="9"/>
      <c r="L19" s="9"/>
      <c r="M19" s="15">
        <f t="shared" si="3"/>
        <v>52.5</v>
      </c>
    </row>
    <row r="20" spans="1:13" ht="13.5" x14ac:dyDescent="0.25">
      <c r="A20" s="39">
        <v>9</v>
      </c>
      <c r="B20" s="38">
        <v>69</v>
      </c>
      <c r="C20" s="38">
        <v>32</v>
      </c>
      <c r="D20" s="40">
        <f t="shared" si="0"/>
        <v>50.5</v>
      </c>
      <c r="E20" s="40">
        <f t="shared" si="1"/>
        <v>14.5</v>
      </c>
      <c r="F20" s="40">
        <f t="shared" si="2"/>
        <v>0</v>
      </c>
      <c r="G20" s="61">
        <v>0</v>
      </c>
      <c r="H20" s="41">
        <v>0</v>
      </c>
      <c r="I20" s="38">
        <v>15</v>
      </c>
      <c r="J20" s="148">
        <v>200</v>
      </c>
      <c r="K20" s="9"/>
      <c r="L20" s="9"/>
      <c r="M20" s="15">
        <f t="shared" si="3"/>
        <v>50.5</v>
      </c>
    </row>
    <row r="21" spans="1:13" ht="13.5" x14ac:dyDescent="0.25">
      <c r="A21" s="39">
        <v>10</v>
      </c>
      <c r="B21" s="38">
        <v>77</v>
      </c>
      <c r="C21" s="38">
        <v>40</v>
      </c>
      <c r="D21" s="40">
        <f t="shared" si="0"/>
        <v>58.5</v>
      </c>
      <c r="E21" s="40">
        <f t="shared" si="1"/>
        <v>6.5</v>
      </c>
      <c r="F21" s="40">
        <f t="shared" si="2"/>
        <v>0</v>
      </c>
      <c r="G21" s="61">
        <v>0</v>
      </c>
      <c r="H21" s="41">
        <v>0</v>
      </c>
      <c r="I21" s="38">
        <v>20</v>
      </c>
      <c r="J21" s="148">
        <v>60</v>
      </c>
      <c r="K21" s="9"/>
      <c r="L21" s="9"/>
      <c r="M21" s="15">
        <f t="shared" si="3"/>
        <v>58.5</v>
      </c>
    </row>
    <row r="22" spans="1:13" ht="13.5" x14ac:dyDescent="0.25">
      <c r="A22" s="39">
        <v>11</v>
      </c>
      <c r="B22" s="38">
        <v>71</v>
      </c>
      <c r="C22" s="38">
        <v>38</v>
      </c>
      <c r="D22" s="40">
        <f t="shared" si="0"/>
        <v>54.5</v>
      </c>
      <c r="E22" s="40">
        <f t="shared" si="1"/>
        <v>10.5</v>
      </c>
      <c r="F22" s="40">
        <f t="shared" si="2"/>
        <v>0</v>
      </c>
      <c r="G22" s="61">
        <v>0</v>
      </c>
      <c r="H22" s="41">
        <v>0</v>
      </c>
      <c r="I22" s="38">
        <v>12</v>
      </c>
      <c r="J22" s="148">
        <v>210</v>
      </c>
      <c r="K22" s="9"/>
      <c r="L22" s="9"/>
      <c r="M22" s="15">
        <f t="shared" si="3"/>
        <v>54.5</v>
      </c>
    </row>
    <row r="23" spans="1:13" ht="13.5" x14ac:dyDescent="0.25">
      <c r="A23" s="39">
        <v>12</v>
      </c>
      <c r="B23" s="38">
        <v>77</v>
      </c>
      <c r="C23" s="38">
        <v>50</v>
      </c>
      <c r="D23" s="40">
        <f t="shared" si="0"/>
        <v>63.5</v>
      </c>
      <c r="E23" s="40">
        <f t="shared" si="1"/>
        <v>1.5</v>
      </c>
      <c r="F23" s="40">
        <f t="shared" si="2"/>
        <v>0</v>
      </c>
      <c r="G23" s="61">
        <v>0</v>
      </c>
      <c r="H23" s="41">
        <v>0</v>
      </c>
      <c r="I23" s="38">
        <v>11</v>
      </c>
      <c r="J23" s="149">
        <v>240</v>
      </c>
      <c r="K23" s="9"/>
      <c r="L23" s="9"/>
      <c r="M23" s="15">
        <f t="shared" si="3"/>
        <v>63.5</v>
      </c>
    </row>
    <row r="24" spans="1:13" ht="13.5" x14ac:dyDescent="0.25">
      <c r="A24" s="39">
        <v>13</v>
      </c>
      <c r="B24" s="38">
        <v>79</v>
      </c>
      <c r="C24" s="38">
        <v>59</v>
      </c>
      <c r="D24" s="40">
        <f t="shared" si="0"/>
        <v>69</v>
      </c>
      <c r="E24" s="40">
        <f t="shared" si="1"/>
        <v>0</v>
      </c>
      <c r="F24" s="40">
        <f t="shared" si="2"/>
        <v>4</v>
      </c>
      <c r="G24" s="61">
        <v>0</v>
      </c>
      <c r="H24" s="41">
        <v>0</v>
      </c>
      <c r="I24" s="38">
        <v>10</v>
      </c>
      <c r="J24" s="148">
        <v>190</v>
      </c>
      <c r="K24" s="9"/>
      <c r="L24" s="9"/>
      <c r="M24" s="15">
        <f t="shared" si="3"/>
        <v>69</v>
      </c>
    </row>
    <row r="25" spans="1:13" ht="13.5" x14ac:dyDescent="0.25">
      <c r="A25" s="39">
        <v>14</v>
      </c>
      <c r="B25" s="38">
        <v>66</v>
      </c>
      <c r="C25" s="38">
        <v>43</v>
      </c>
      <c r="D25" s="40">
        <f t="shared" si="0"/>
        <v>54.5</v>
      </c>
      <c r="E25" s="40">
        <f t="shared" si="1"/>
        <v>10.5</v>
      </c>
      <c r="F25" s="40">
        <f t="shared" si="2"/>
        <v>0</v>
      </c>
      <c r="G25" s="61">
        <v>0</v>
      </c>
      <c r="H25" s="41">
        <v>0</v>
      </c>
      <c r="I25" s="38">
        <v>29</v>
      </c>
      <c r="J25" s="149">
        <v>30</v>
      </c>
      <c r="K25" s="9"/>
      <c r="L25" s="9"/>
      <c r="M25" s="15">
        <f t="shared" si="3"/>
        <v>54.5</v>
      </c>
    </row>
    <row r="26" spans="1:13" ht="13.5" x14ac:dyDescent="0.25">
      <c r="A26" s="39">
        <v>15</v>
      </c>
      <c r="B26" s="38">
        <v>58</v>
      </c>
      <c r="C26" s="38">
        <v>40</v>
      </c>
      <c r="D26" s="40">
        <f t="shared" si="0"/>
        <v>49</v>
      </c>
      <c r="E26" s="40">
        <f t="shared" si="1"/>
        <v>16</v>
      </c>
      <c r="F26" s="40">
        <f t="shared" si="2"/>
        <v>0</v>
      </c>
      <c r="G26" s="61">
        <v>0</v>
      </c>
      <c r="H26" s="41">
        <v>0</v>
      </c>
      <c r="I26" s="38">
        <v>13</v>
      </c>
      <c r="J26" s="148">
        <v>30</v>
      </c>
      <c r="K26" s="9"/>
      <c r="L26" s="9"/>
      <c r="M26" s="15">
        <f t="shared" si="3"/>
        <v>49</v>
      </c>
    </row>
    <row r="27" spans="1:13" ht="13.5" x14ac:dyDescent="0.25">
      <c r="A27" s="39">
        <v>16</v>
      </c>
      <c r="B27" s="38">
        <v>60</v>
      </c>
      <c r="C27" s="38">
        <v>44</v>
      </c>
      <c r="D27" s="40">
        <f t="shared" si="0"/>
        <v>52</v>
      </c>
      <c r="E27" s="40">
        <f t="shared" si="1"/>
        <v>13</v>
      </c>
      <c r="F27" s="40">
        <f t="shared" si="2"/>
        <v>0</v>
      </c>
      <c r="G27" s="61">
        <v>0.18</v>
      </c>
      <c r="H27" s="41">
        <v>0</v>
      </c>
      <c r="I27" s="38">
        <v>17</v>
      </c>
      <c r="J27" s="148">
        <v>130</v>
      </c>
      <c r="K27" s="9"/>
      <c r="L27" s="9"/>
      <c r="M27" s="15">
        <f t="shared" si="3"/>
        <v>52</v>
      </c>
    </row>
    <row r="28" spans="1:13" ht="13.5" x14ac:dyDescent="0.25">
      <c r="A28" s="39">
        <v>17</v>
      </c>
      <c r="B28" s="38">
        <v>66</v>
      </c>
      <c r="C28" s="38">
        <v>58</v>
      </c>
      <c r="D28" s="40">
        <f t="shared" si="0"/>
        <v>62</v>
      </c>
      <c r="E28" s="40">
        <f t="shared" si="1"/>
        <v>3</v>
      </c>
      <c r="F28" s="40">
        <f t="shared" si="2"/>
        <v>0</v>
      </c>
      <c r="G28" s="61">
        <v>0.14000000000000001</v>
      </c>
      <c r="H28" s="41">
        <v>0</v>
      </c>
      <c r="I28" s="38">
        <v>11</v>
      </c>
      <c r="J28" s="148">
        <v>120</v>
      </c>
      <c r="K28" s="9"/>
      <c r="L28" s="9"/>
      <c r="M28" s="15">
        <f t="shared" si="3"/>
        <v>62</v>
      </c>
    </row>
    <row r="29" spans="1:13" ht="13.5" x14ac:dyDescent="0.25">
      <c r="A29" s="39">
        <v>18</v>
      </c>
      <c r="B29" s="38">
        <v>80</v>
      </c>
      <c r="C29" s="38">
        <v>58</v>
      </c>
      <c r="D29" s="40">
        <f t="shared" si="0"/>
        <v>69</v>
      </c>
      <c r="E29" s="40">
        <f t="shared" si="1"/>
        <v>0</v>
      </c>
      <c r="F29" s="40">
        <f t="shared" si="2"/>
        <v>4</v>
      </c>
      <c r="G29" s="61">
        <v>0</v>
      </c>
      <c r="H29" s="41">
        <v>0</v>
      </c>
      <c r="I29" s="38">
        <v>25</v>
      </c>
      <c r="J29" s="148">
        <v>350</v>
      </c>
      <c r="K29" s="9"/>
      <c r="L29" s="9"/>
      <c r="M29" s="15">
        <f t="shared" si="3"/>
        <v>69</v>
      </c>
    </row>
    <row r="30" spans="1:13" ht="13.5" x14ac:dyDescent="0.25">
      <c r="A30" s="39">
        <v>19</v>
      </c>
      <c r="B30" s="38">
        <v>70</v>
      </c>
      <c r="C30" s="38">
        <v>39</v>
      </c>
      <c r="D30" s="40">
        <f t="shared" si="0"/>
        <v>54.5</v>
      </c>
      <c r="E30" s="40">
        <f t="shared" si="1"/>
        <v>10.5</v>
      </c>
      <c r="F30" s="40">
        <f t="shared" si="2"/>
        <v>0</v>
      </c>
      <c r="G30" s="61">
        <v>0</v>
      </c>
      <c r="H30" s="41">
        <v>0</v>
      </c>
      <c r="I30" s="38">
        <v>14</v>
      </c>
      <c r="J30" s="148">
        <v>170</v>
      </c>
      <c r="K30" s="9"/>
      <c r="L30" s="9"/>
      <c r="M30" s="15">
        <f t="shared" si="3"/>
        <v>54.5</v>
      </c>
    </row>
    <row r="31" spans="1:13" ht="13.5" x14ac:dyDescent="0.25">
      <c r="A31" s="39">
        <v>20</v>
      </c>
      <c r="B31" s="38">
        <v>74</v>
      </c>
      <c r="C31" s="38">
        <v>46</v>
      </c>
      <c r="D31" s="40">
        <f t="shared" si="0"/>
        <v>60</v>
      </c>
      <c r="E31" s="40">
        <f t="shared" si="1"/>
        <v>5</v>
      </c>
      <c r="F31" s="40">
        <f t="shared" si="2"/>
        <v>0</v>
      </c>
      <c r="G31" s="61">
        <v>0</v>
      </c>
      <c r="H31" s="41">
        <v>0</v>
      </c>
      <c r="I31" s="38">
        <v>12</v>
      </c>
      <c r="J31" s="148">
        <v>220</v>
      </c>
      <c r="K31" s="9"/>
      <c r="L31" s="9"/>
      <c r="M31" s="15">
        <f t="shared" si="3"/>
        <v>60</v>
      </c>
    </row>
    <row r="32" spans="1:13" ht="13.5" x14ac:dyDescent="0.25">
      <c r="A32" s="39">
        <v>21</v>
      </c>
      <c r="B32" s="38">
        <v>77</v>
      </c>
      <c r="C32" s="38">
        <v>52</v>
      </c>
      <c r="D32" s="40">
        <f t="shared" si="0"/>
        <v>64.5</v>
      </c>
      <c r="E32" s="40">
        <f t="shared" si="1"/>
        <v>0.5</v>
      </c>
      <c r="F32" s="40">
        <f t="shared" si="2"/>
        <v>0</v>
      </c>
      <c r="G32" s="61">
        <v>0</v>
      </c>
      <c r="H32" s="41">
        <v>0</v>
      </c>
      <c r="I32" s="38">
        <v>14</v>
      </c>
      <c r="J32" s="148">
        <v>40</v>
      </c>
      <c r="K32" s="9"/>
      <c r="L32" s="9"/>
      <c r="M32" s="15">
        <f t="shared" si="3"/>
        <v>64.5</v>
      </c>
    </row>
    <row r="33" spans="1:13" ht="13.5" x14ac:dyDescent="0.25">
      <c r="A33" s="39">
        <v>22</v>
      </c>
      <c r="B33" s="38">
        <v>82</v>
      </c>
      <c r="C33" s="38">
        <v>63</v>
      </c>
      <c r="D33" s="40">
        <f t="shared" si="0"/>
        <v>72.5</v>
      </c>
      <c r="E33" s="40">
        <f t="shared" si="1"/>
        <v>0</v>
      </c>
      <c r="F33" s="40">
        <f t="shared" si="2"/>
        <v>7.5</v>
      </c>
      <c r="G33" s="61">
        <v>0</v>
      </c>
      <c r="H33" s="41">
        <v>0</v>
      </c>
      <c r="I33" s="38">
        <v>14</v>
      </c>
      <c r="J33" s="148">
        <v>140</v>
      </c>
      <c r="K33" s="9"/>
      <c r="L33" s="9"/>
      <c r="M33" s="15">
        <f t="shared" si="3"/>
        <v>72.5</v>
      </c>
    </row>
    <row r="34" spans="1:13" ht="13.5" x14ac:dyDescent="0.25">
      <c r="A34" s="39">
        <v>23</v>
      </c>
      <c r="B34" s="38">
        <v>82</v>
      </c>
      <c r="C34" s="38">
        <v>64</v>
      </c>
      <c r="D34" s="40">
        <f t="shared" si="0"/>
        <v>73</v>
      </c>
      <c r="E34" s="40">
        <f t="shared" si="1"/>
        <v>0</v>
      </c>
      <c r="F34" s="40">
        <f t="shared" si="2"/>
        <v>8</v>
      </c>
      <c r="G34" s="61">
        <v>0</v>
      </c>
      <c r="H34" s="41">
        <v>0</v>
      </c>
      <c r="I34" s="38">
        <v>15</v>
      </c>
      <c r="J34" s="148">
        <v>140</v>
      </c>
      <c r="K34" s="9"/>
      <c r="L34" s="9"/>
      <c r="M34" s="15">
        <f t="shared" si="3"/>
        <v>73</v>
      </c>
    </row>
    <row r="35" spans="1:13" ht="13.5" x14ac:dyDescent="0.25">
      <c r="A35" s="39">
        <v>24</v>
      </c>
      <c r="B35" s="38">
        <v>81</v>
      </c>
      <c r="C35" s="38">
        <v>64</v>
      </c>
      <c r="D35" s="40">
        <f t="shared" si="0"/>
        <v>72.5</v>
      </c>
      <c r="E35" s="40">
        <f t="shared" si="1"/>
        <v>0</v>
      </c>
      <c r="F35" s="40">
        <f t="shared" si="2"/>
        <v>7.5</v>
      </c>
      <c r="G35" s="61">
        <v>0</v>
      </c>
      <c r="H35" s="41">
        <v>0</v>
      </c>
      <c r="I35" s="38">
        <v>14</v>
      </c>
      <c r="J35" s="148">
        <v>200</v>
      </c>
      <c r="K35" s="9"/>
      <c r="L35" s="9"/>
      <c r="M35" s="15">
        <f t="shared" si="3"/>
        <v>72.5</v>
      </c>
    </row>
    <row r="36" spans="1:13" ht="13.5" x14ac:dyDescent="0.25">
      <c r="A36" s="39">
        <v>25</v>
      </c>
      <c r="B36" s="38">
        <v>81</v>
      </c>
      <c r="C36" s="38">
        <v>64</v>
      </c>
      <c r="D36" s="40">
        <f t="shared" si="0"/>
        <v>72.5</v>
      </c>
      <c r="E36" s="40">
        <f t="shared" si="1"/>
        <v>0</v>
      </c>
      <c r="F36" s="40">
        <f t="shared" si="2"/>
        <v>7.5</v>
      </c>
      <c r="G36" s="61">
        <v>0</v>
      </c>
      <c r="H36" s="41">
        <v>0</v>
      </c>
      <c r="I36" s="38">
        <v>14</v>
      </c>
      <c r="J36" s="148">
        <v>160</v>
      </c>
      <c r="K36" s="9"/>
      <c r="L36" s="9"/>
      <c r="M36" s="15">
        <f t="shared" si="3"/>
        <v>72.5</v>
      </c>
    </row>
    <row r="37" spans="1:13" ht="13.5" x14ac:dyDescent="0.25">
      <c r="A37" s="39">
        <v>26</v>
      </c>
      <c r="B37" s="38">
        <v>83</v>
      </c>
      <c r="C37" s="38">
        <v>67</v>
      </c>
      <c r="D37" s="40">
        <f t="shared" si="0"/>
        <v>75</v>
      </c>
      <c r="E37" s="40">
        <f t="shared" si="1"/>
        <v>0</v>
      </c>
      <c r="F37" s="40">
        <f t="shared" si="2"/>
        <v>10</v>
      </c>
      <c r="G37" s="61">
        <v>0</v>
      </c>
      <c r="H37" s="41">
        <v>0</v>
      </c>
      <c r="I37" s="38">
        <v>13</v>
      </c>
      <c r="J37" s="148">
        <v>170</v>
      </c>
      <c r="K37" s="9"/>
      <c r="L37" s="9"/>
      <c r="M37" s="15">
        <f t="shared" si="3"/>
        <v>75</v>
      </c>
    </row>
    <row r="38" spans="1:13" ht="13.5" x14ac:dyDescent="0.25">
      <c r="A38" s="39">
        <v>27</v>
      </c>
      <c r="B38" s="38">
        <v>82</v>
      </c>
      <c r="C38" s="38">
        <v>66</v>
      </c>
      <c r="D38" s="40">
        <f t="shared" si="0"/>
        <v>74</v>
      </c>
      <c r="E38" s="40">
        <f t="shared" si="1"/>
        <v>0</v>
      </c>
      <c r="F38" s="40">
        <f t="shared" si="2"/>
        <v>9</v>
      </c>
      <c r="G38" s="61">
        <v>0</v>
      </c>
      <c r="H38" s="41">
        <v>0</v>
      </c>
      <c r="I38" s="38">
        <v>19</v>
      </c>
      <c r="J38" s="149">
        <v>130</v>
      </c>
      <c r="K38" s="9"/>
      <c r="L38" s="9"/>
      <c r="M38" s="15">
        <f t="shared" si="3"/>
        <v>74</v>
      </c>
    </row>
    <row r="39" spans="1:13" ht="13.5" x14ac:dyDescent="0.25">
      <c r="A39" s="39">
        <v>28</v>
      </c>
      <c r="B39" s="38">
        <v>80</v>
      </c>
      <c r="C39" s="38">
        <v>60</v>
      </c>
      <c r="D39" s="40">
        <f t="shared" si="0"/>
        <v>70</v>
      </c>
      <c r="E39" s="40">
        <f t="shared" si="1"/>
        <v>0</v>
      </c>
      <c r="F39" s="40">
        <f t="shared" si="2"/>
        <v>5</v>
      </c>
      <c r="G39" s="61">
        <v>0</v>
      </c>
      <c r="H39" s="41">
        <v>0</v>
      </c>
      <c r="I39" s="38">
        <v>34</v>
      </c>
      <c r="J39" s="148">
        <v>10</v>
      </c>
      <c r="K39" s="9"/>
      <c r="L39" s="9"/>
      <c r="M39" s="15">
        <f t="shared" si="3"/>
        <v>70</v>
      </c>
    </row>
    <row r="40" spans="1:13" ht="13.5" x14ac:dyDescent="0.25">
      <c r="A40" s="39">
        <v>29</v>
      </c>
      <c r="B40" s="38">
        <v>59</v>
      </c>
      <c r="C40" s="38">
        <v>46</v>
      </c>
      <c r="D40" s="40">
        <f t="shared" si="0"/>
        <v>52.5</v>
      </c>
      <c r="E40" s="40">
        <f t="shared" si="1"/>
        <v>12.5</v>
      </c>
      <c r="F40" s="40">
        <f t="shared" si="2"/>
        <v>0</v>
      </c>
      <c r="G40" s="61">
        <v>0</v>
      </c>
      <c r="H40" s="41">
        <v>0</v>
      </c>
      <c r="I40" s="38">
        <v>36</v>
      </c>
      <c r="J40" s="148">
        <v>20</v>
      </c>
      <c r="K40" s="9"/>
      <c r="L40" s="9"/>
      <c r="M40" s="15">
        <f t="shared" si="3"/>
        <v>52.5</v>
      </c>
    </row>
    <row r="41" spans="1:13" ht="13.5" x14ac:dyDescent="0.25">
      <c r="A41" s="39">
        <v>30</v>
      </c>
      <c r="B41" s="38">
        <v>61</v>
      </c>
      <c r="C41" s="38">
        <v>40</v>
      </c>
      <c r="D41" s="40">
        <f t="shared" si="0"/>
        <v>50.5</v>
      </c>
      <c r="E41" s="40">
        <f t="shared" si="1"/>
        <v>14.5</v>
      </c>
      <c r="F41" s="40">
        <f t="shared" si="2"/>
        <v>0</v>
      </c>
      <c r="G41" s="61">
        <v>0</v>
      </c>
      <c r="H41" s="41">
        <v>0</v>
      </c>
      <c r="I41" s="38">
        <v>20</v>
      </c>
      <c r="J41" s="148">
        <v>350</v>
      </c>
      <c r="K41" s="9"/>
      <c r="L41" s="9"/>
      <c r="M41" s="15">
        <f t="shared" si="3"/>
        <v>50.5</v>
      </c>
    </row>
    <row r="42" spans="1:13" ht="13.5" x14ac:dyDescent="0.25">
      <c r="A42" s="166">
        <v>31</v>
      </c>
      <c r="B42" s="153">
        <v>70</v>
      </c>
      <c r="C42" s="153">
        <v>34</v>
      </c>
      <c r="D42" s="167">
        <f t="shared" si="0"/>
        <v>52</v>
      </c>
      <c r="E42" s="167">
        <f t="shared" si="1"/>
        <v>13</v>
      </c>
      <c r="F42" s="167">
        <f t="shared" si="2"/>
        <v>0</v>
      </c>
      <c r="G42" s="151">
        <v>0</v>
      </c>
      <c r="H42" s="152">
        <v>0</v>
      </c>
      <c r="I42" s="153">
        <v>13</v>
      </c>
      <c r="J42" s="154">
        <v>240</v>
      </c>
      <c r="K42" s="9"/>
      <c r="L42" s="9"/>
      <c r="M42" s="15">
        <f t="shared" si="3"/>
        <v>52</v>
      </c>
    </row>
    <row r="43" spans="1:13" ht="13.5" x14ac:dyDescent="0.25">
      <c r="A43" s="39" t="s">
        <v>24</v>
      </c>
      <c r="B43" s="35" t="s">
        <v>25</v>
      </c>
      <c r="C43" s="35" t="s">
        <v>25</v>
      </c>
      <c r="D43" s="40">
        <f>SUM(D12:D42)</f>
        <v>1854.5</v>
      </c>
      <c r="E43" s="40">
        <f>SUM(E12:E42)</f>
        <v>226</v>
      </c>
      <c r="F43" s="40">
        <f>SUM(F12:F42)</f>
        <v>65.5</v>
      </c>
      <c r="G43" s="61">
        <f>SUM(G12:G42)</f>
        <v>0.35</v>
      </c>
      <c r="H43" s="41">
        <f>SUM(H12:H42)</f>
        <v>0</v>
      </c>
      <c r="I43" s="40" t="s">
        <v>25</v>
      </c>
      <c r="J43" s="172" t="s">
        <v>25</v>
      </c>
      <c r="K43" s="9"/>
      <c r="L43" s="9"/>
      <c r="M43" s="15">
        <f>IF(D43=0,65,D43)</f>
        <v>1854.5</v>
      </c>
    </row>
    <row r="44" spans="1:13" ht="13.5" x14ac:dyDescent="0.25">
      <c r="A44" s="39" t="s">
        <v>26</v>
      </c>
      <c r="B44" s="35">
        <f>MAXA(B13:B42)</f>
        <v>83</v>
      </c>
      <c r="C44" s="35">
        <f>MINA(C12:C42)</f>
        <v>32</v>
      </c>
      <c r="D44" s="40">
        <f>(B44+C44)/2</f>
        <v>57.5</v>
      </c>
      <c r="E44" s="40">
        <f>IF(65-D44&gt;0,65-M44,0)</f>
        <v>65</v>
      </c>
      <c r="F44" s="40">
        <f>IF((D44)-65&lt;0,0,(D44)-65)</f>
        <v>0</v>
      </c>
      <c r="G44" s="61">
        <f>MAXA(G13:G42)</f>
        <v>0.18</v>
      </c>
      <c r="H44" s="41">
        <f>MAXA(H13:H42)</f>
        <v>0</v>
      </c>
      <c r="I44" s="35">
        <f>MAXA(I12:I42)</f>
        <v>36</v>
      </c>
      <c r="J44" s="147">
        <v>20</v>
      </c>
      <c r="K44" s="9"/>
      <c r="L44" s="9"/>
      <c r="M44" s="9"/>
    </row>
    <row r="45" spans="1:13" ht="13.5" x14ac:dyDescent="0.25">
      <c r="A45" s="39" t="s">
        <v>27</v>
      </c>
      <c r="B45" s="40">
        <f>AVERAGEA(B12:B42)</f>
        <v>70.774193548387103</v>
      </c>
      <c r="C45" s="40">
        <f>AVERAGEA(C12:C42)</f>
        <v>48.87096774193548</v>
      </c>
      <c r="D45" s="40">
        <f>(B45+C45)/2</f>
        <v>59.822580645161295</v>
      </c>
      <c r="E45" s="40">
        <f>IF(65-D45&gt;0,65-M45,0)</f>
        <v>65</v>
      </c>
      <c r="F45" s="40">
        <f>IF((D45)-65&lt;0,0,(D45)-65)</f>
        <v>0</v>
      </c>
      <c r="G45" s="61">
        <f>AVERAGEA(G12:G42)</f>
        <v>1.1290322580645161E-2</v>
      </c>
      <c r="H45" s="41">
        <f>AVERAGEA(H12:H42)</f>
        <v>0</v>
      </c>
      <c r="I45" s="40">
        <f>AVERAGEA(I12:I42)</f>
        <v>17.161290322580644</v>
      </c>
      <c r="J45" s="173">
        <f>AVERAGE(J12:J42)</f>
        <v>160.64516129032259</v>
      </c>
      <c r="K45" s="9"/>
      <c r="L45" s="9"/>
      <c r="M45" s="9"/>
    </row>
    <row r="46" spans="1:13" ht="13.5" x14ac:dyDescent="0.25">
      <c r="A46" s="39" t="s">
        <v>28</v>
      </c>
      <c r="B46" s="35">
        <v>89</v>
      </c>
      <c r="C46" s="35">
        <v>9</v>
      </c>
      <c r="D46" s="40">
        <v>57</v>
      </c>
      <c r="E46" s="40">
        <f>AVERAGEA(E13:E42)</f>
        <v>6.9333333333333336</v>
      </c>
      <c r="F46" s="40">
        <f>AVERAGEA(F13:F42)</f>
        <v>2.1833333333333331</v>
      </c>
      <c r="G46" s="61">
        <v>1.4</v>
      </c>
      <c r="H46" s="41" t="s">
        <v>25</v>
      </c>
      <c r="I46" s="35">
        <v>9</v>
      </c>
      <c r="J46" s="172">
        <v>10</v>
      </c>
      <c r="K46" s="9"/>
      <c r="L46" s="9"/>
      <c r="M46" s="9"/>
    </row>
    <row r="47" spans="1:13" ht="13.5" x14ac:dyDescent="0.25">
      <c r="A47" s="27" t="s">
        <v>29</v>
      </c>
      <c r="B47" s="34"/>
      <c r="C47" s="34"/>
      <c r="D47" s="145"/>
      <c r="E47" s="145"/>
      <c r="F47" s="145"/>
      <c r="G47" s="155">
        <f>(G43-G46)</f>
        <v>-1.0499999999999998</v>
      </c>
      <c r="H47" s="34"/>
      <c r="I47" s="38"/>
      <c r="J47" s="29"/>
      <c r="K47" s="9"/>
      <c r="L47" s="9"/>
      <c r="M47" s="9"/>
    </row>
    <row r="48" spans="1:13" ht="13.5" x14ac:dyDescent="0.25">
      <c r="A48" s="158" t="s">
        <v>30</v>
      </c>
      <c r="B48" s="150"/>
      <c r="C48" s="150"/>
      <c r="D48" s="150"/>
      <c r="E48" s="150"/>
      <c r="F48" s="150"/>
      <c r="G48" s="150"/>
      <c r="H48" s="150"/>
      <c r="I48" s="150"/>
      <c r="J48" s="176"/>
      <c r="K48" s="9"/>
      <c r="L48" s="9"/>
      <c r="M48" s="9"/>
    </row>
    <row r="49" spans="1:13" ht="14.25" thickBot="1" x14ac:dyDescent="0.3">
      <c r="A49" s="159"/>
      <c r="B49" s="160"/>
      <c r="C49" s="160"/>
      <c r="D49" s="160"/>
      <c r="E49" s="160"/>
      <c r="F49" s="160"/>
      <c r="G49" s="160"/>
      <c r="H49" s="160"/>
      <c r="I49" s="160"/>
      <c r="J49" s="52"/>
      <c r="K49" s="9"/>
      <c r="L49" s="9"/>
      <c r="M49" s="9"/>
    </row>
    <row r="50" spans="1:13" ht="13.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2" spans="1:13" x14ac:dyDescent="0.2">
      <c r="A52" s="203"/>
      <c r="B52" s="227" t="s">
        <v>31</v>
      </c>
      <c r="C52" s="227"/>
      <c r="D52" s="227"/>
      <c r="E52" s="227"/>
      <c r="F52" s="227"/>
      <c r="G52" s="227" t="s">
        <v>72</v>
      </c>
      <c r="H52" s="227"/>
      <c r="I52" s="227"/>
      <c r="J52" s="203" t="s">
        <v>73</v>
      </c>
    </row>
    <row r="53" spans="1:13" ht="25.5" x14ac:dyDescent="0.2">
      <c r="A53" s="203"/>
      <c r="B53" s="205" t="s">
        <v>66</v>
      </c>
      <c r="C53" s="205" t="s">
        <v>67</v>
      </c>
      <c r="D53" s="203" t="s">
        <v>16</v>
      </c>
      <c r="E53" s="205" t="s">
        <v>69</v>
      </c>
      <c r="F53" s="205" t="s">
        <v>68</v>
      </c>
      <c r="G53" s="205" t="s">
        <v>12</v>
      </c>
      <c r="H53" s="203" t="s">
        <v>16</v>
      </c>
      <c r="I53" s="205" t="s">
        <v>71</v>
      </c>
      <c r="J53" s="205" t="s">
        <v>70</v>
      </c>
    </row>
    <row r="54" spans="1:13" ht="25.5" x14ac:dyDescent="0.2">
      <c r="A54" s="205" t="s">
        <v>64</v>
      </c>
      <c r="B54" s="35">
        <f>MAXA(B12:B42)</f>
        <v>83</v>
      </c>
      <c r="C54" s="40">
        <f>AVERAGEA(B12:B42)</f>
        <v>70.774193548387103</v>
      </c>
      <c r="D54" s="40">
        <f>(B45+C45)/2</f>
        <v>59.822580645161295</v>
      </c>
      <c r="E54" s="40">
        <f>AVERAGEA(C12:C42)</f>
        <v>48.87096774193548</v>
      </c>
      <c r="F54" s="35">
        <f>MINA(C12:C42)</f>
        <v>32</v>
      </c>
      <c r="G54" s="61">
        <f>SUM(G12:G42)</f>
        <v>0.35</v>
      </c>
      <c r="H54" s="61">
        <f>AVERAGEA(G12:G42)</f>
        <v>1.1290322580645161E-2</v>
      </c>
      <c r="I54" s="61">
        <f>MAXA(G12:G42)</f>
        <v>0.18</v>
      </c>
      <c r="J54" s="35">
        <f>MAXA(I12:I42)</f>
        <v>36</v>
      </c>
    </row>
    <row r="55" spans="1:13" x14ac:dyDescent="0.2">
      <c r="A55" s="203" t="s">
        <v>65</v>
      </c>
      <c r="B55" s="204">
        <v>89</v>
      </c>
      <c r="C55" s="204">
        <v>68</v>
      </c>
      <c r="D55" s="204">
        <v>57</v>
      </c>
      <c r="E55" s="204">
        <v>47</v>
      </c>
      <c r="F55" s="204">
        <v>9</v>
      </c>
      <c r="G55" s="204">
        <v>11.6</v>
      </c>
      <c r="H55" s="204">
        <v>1.4</v>
      </c>
      <c r="I55" s="204">
        <v>4.7</v>
      </c>
      <c r="J55" s="204">
        <v>79</v>
      </c>
    </row>
  </sheetData>
  <mergeCells count="2">
    <mergeCell ref="B52:F52"/>
    <mergeCell ref="G52:I52"/>
  </mergeCells>
  <phoneticPr fontId="0" type="noConversion"/>
  <conditionalFormatting sqref="E54">
    <cfRule type="cellIs" dxfId="8" priority="1" stopIfTrue="1" operator="lessThan">
      <formula>$E$55</formula>
    </cfRule>
  </conditionalFormatting>
  <conditionalFormatting sqref="F54">
    <cfRule type="cellIs" dxfId="7" priority="2" stopIfTrue="1" operator="lessThan">
      <formula>$F$55</formula>
    </cfRule>
  </conditionalFormatting>
  <conditionalFormatting sqref="B54">
    <cfRule type="cellIs" dxfId="6" priority="3" stopIfTrue="1" operator="greaterThan">
      <formula>$B$55</formula>
    </cfRule>
  </conditionalFormatting>
  <conditionalFormatting sqref="C54">
    <cfRule type="cellIs" dxfId="5" priority="4" stopIfTrue="1" operator="greaterThan">
      <formula>$C$55</formula>
    </cfRule>
  </conditionalFormatting>
  <conditionalFormatting sqref="G54">
    <cfRule type="cellIs" dxfId="4" priority="5" stopIfTrue="1" operator="greaterThan">
      <formula>$G$55</formula>
    </cfRule>
  </conditionalFormatting>
  <conditionalFormatting sqref="H54">
    <cfRule type="cellIs" dxfId="3" priority="6" stopIfTrue="1" operator="greaterThan">
      <formula>$H$55</formula>
    </cfRule>
  </conditionalFormatting>
  <conditionalFormatting sqref="I54">
    <cfRule type="cellIs" dxfId="2" priority="7" stopIfTrue="1" operator="greaterThan">
      <formula>$I$55</formula>
    </cfRule>
  </conditionalFormatting>
  <conditionalFormatting sqref="J54">
    <cfRule type="cellIs" dxfId="1" priority="8" stopIfTrue="1" operator="greaterThan">
      <formula>$J$55</formula>
    </cfRule>
  </conditionalFormatting>
  <conditionalFormatting sqref="D54">
    <cfRule type="cellIs" dxfId="0" priority="9" stopIfTrue="1" operator="greaterThan">
      <formula>$D$55</formula>
    </cfRule>
  </conditionalFormatting>
  <pageMargins left="0.63" right="0.6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0E5F-BEF3-4657-B3BF-930EC651E797}">
  <sheetPr codeName="Sheet13">
    <pageSetUpPr fitToPage="1"/>
  </sheetPr>
  <dimension ref="A1:N46"/>
  <sheetViews>
    <sheetView zoomScale="75" workbookViewId="0">
      <selection activeCell="J26" sqref="J26"/>
    </sheetView>
  </sheetViews>
  <sheetFormatPr defaultRowHeight="12.75" x14ac:dyDescent="0.2"/>
  <sheetData>
    <row r="1" spans="1:14" ht="15.75" x14ac:dyDescent="0.25">
      <c r="A1" s="23"/>
      <c r="B1" s="65" t="s">
        <v>79</v>
      </c>
      <c r="C1" s="24"/>
      <c r="D1" s="24"/>
      <c r="E1" s="25"/>
      <c r="F1" s="24"/>
      <c r="G1" s="24"/>
      <c r="H1" s="24"/>
      <c r="I1" s="24"/>
      <c r="J1" s="24"/>
      <c r="K1" s="24"/>
      <c r="L1" s="24"/>
      <c r="M1" s="24"/>
      <c r="N1" s="26"/>
    </row>
    <row r="2" spans="1:14" ht="15.75" x14ac:dyDescent="0.2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28"/>
      <c r="N2" s="29"/>
    </row>
    <row r="3" spans="1:14" ht="15.75" x14ac:dyDescent="0.25">
      <c r="A3" s="62"/>
      <c r="B3" s="63" t="s">
        <v>59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28"/>
      <c r="N3" s="29"/>
    </row>
    <row r="4" spans="1:14" ht="15.75" x14ac:dyDescent="0.25">
      <c r="A4" s="62"/>
      <c r="B4" s="63" t="s">
        <v>1</v>
      </c>
      <c r="C4" s="63"/>
      <c r="D4" s="63"/>
      <c r="E4" s="64"/>
      <c r="F4" s="63"/>
      <c r="G4" s="63"/>
      <c r="H4" s="63"/>
      <c r="I4" s="63"/>
      <c r="J4" s="63"/>
      <c r="K4" s="63"/>
      <c r="L4" s="63"/>
      <c r="M4" s="28"/>
      <c r="N4" s="29"/>
    </row>
    <row r="5" spans="1:14" ht="15.75" x14ac:dyDescent="0.25">
      <c r="A5" s="62"/>
      <c r="B5" s="63" t="s">
        <v>93</v>
      </c>
      <c r="C5" s="63"/>
      <c r="D5" s="64"/>
      <c r="E5" s="63"/>
      <c r="F5" s="63"/>
      <c r="G5" s="63"/>
      <c r="H5" s="63"/>
      <c r="I5" s="63"/>
      <c r="J5" s="63"/>
      <c r="K5" s="63"/>
      <c r="L5" s="63"/>
      <c r="M5" s="28"/>
      <c r="N5" s="29"/>
    </row>
    <row r="6" spans="1:14" ht="15.75" x14ac:dyDescent="0.25">
      <c r="A6" s="62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28"/>
      <c r="N6" s="29"/>
    </row>
    <row r="7" spans="1:14" ht="13.5" thickBot="1" x14ac:dyDescent="0.25">
      <c r="A7" s="30"/>
      <c r="B7" s="31"/>
      <c r="C7" s="31"/>
      <c r="D7" s="31"/>
      <c r="E7" s="31"/>
      <c r="F7" s="31"/>
      <c r="G7" s="31"/>
      <c r="H7" s="31"/>
      <c r="I7" s="32"/>
      <c r="J7" s="32"/>
      <c r="K7" s="31"/>
      <c r="L7" s="31"/>
      <c r="M7" s="31"/>
      <c r="N7" s="33"/>
    </row>
    <row r="8" spans="1:14" x14ac:dyDescent="0.2">
      <c r="A8" s="27"/>
      <c r="B8" s="236" t="s">
        <v>31</v>
      </c>
      <c r="C8" s="236"/>
      <c r="D8" s="236"/>
      <c r="E8" s="236"/>
      <c r="F8" s="236"/>
      <c r="G8" s="237" t="s">
        <v>57</v>
      </c>
      <c r="H8" s="237"/>
      <c r="I8" s="236" t="s">
        <v>32</v>
      </c>
      <c r="J8" s="236"/>
      <c r="K8" s="236"/>
      <c r="L8" s="236" t="s">
        <v>33</v>
      </c>
      <c r="M8" s="236"/>
      <c r="N8" s="29"/>
    </row>
    <row r="9" spans="1:14" x14ac:dyDescent="0.2">
      <c r="A9" s="27"/>
      <c r="B9" s="36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29"/>
    </row>
    <row r="10" spans="1:14" x14ac:dyDescent="0.2">
      <c r="A10" s="37"/>
      <c r="B10" s="38"/>
      <c r="C10" s="38"/>
      <c r="D10" s="38"/>
      <c r="E10" s="38"/>
      <c r="F10" s="38"/>
      <c r="G10" s="38"/>
      <c r="H10" s="38"/>
      <c r="I10" s="35" t="s">
        <v>6</v>
      </c>
      <c r="J10" s="35"/>
      <c r="K10" s="35" t="s">
        <v>34</v>
      </c>
      <c r="L10" s="35" t="s">
        <v>12</v>
      </c>
      <c r="M10" s="38"/>
      <c r="N10" s="29"/>
    </row>
    <row r="11" spans="1:14" x14ac:dyDescent="0.2">
      <c r="A11" s="37"/>
      <c r="B11" s="35" t="s">
        <v>35</v>
      </c>
      <c r="C11" s="35" t="s">
        <v>36</v>
      </c>
      <c r="D11" s="35" t="s">
        <v>16</v>
      </c>
      <c r="E11" s="35" t="s">
        <v>36</v>
      </c>
      <c r="F11" s="35" t="s">
        <v>35</v>
      </c>
      <c r="G11" s="35" t="s">
        <v>17</v>
      </c>
      <c r="H11" s="35" t="s">
        <v>18</v>
      </c>
      <c r="I11" s="35" t="s">
        <v>37</v>
      </c>
      <c r="J11" s="35" t="s">
        <v>58</v>
      </c>
      <c r="K11" s="35" t="s">
        <v>38</v>
      </c>
      <c r="L11" s="35" t="s">
        <v>21</v>
      </c>
      <c r="M11" s="35" t="s">
        <v>39</v>
      </c>
      <c r="N11" s="29"/>
    </row>
    <row r="12" spans="1:14" x14ac:dyDescent="0.2">
      <c r="A12" s="39" t="s">
        <v>40</v>
      </c>
      <c r="B12" s="35" t="s">
        <v>12</v>
      </c>
      <c r="C12" s="35" t="s">
        <v>12</v>
      </c>
      <c r="D12" s="38"/>
      <c r="E12" s="35" t="s">
        <v>15</v>
      </c>
      <c r="F12" s="35" t="s">
        <v>15</v>
      </c>
      <c r="G12" s="35"/>
      <c r="H12" s="35"/>
      <c r="I12" s="35" t="s">
        <v>19</v>
      </c>
      <c r="J12" s="35" t="s">
        <v>12</v>
      </c>
      <c r="K12" s="35" t="s">
        <v>20</v>
      </c>
      <c r="L12" s="35" t="s">
        <v>41</v>
      </c>
      <c r="M12" s="35" t="s">
        <v>22</v>
      </c>
      <c r="N12" s="29"/>
    </row>
    <row r="13" spans="1:14" ht="13.5" thickBot="1" x14ac:dyDescent="0.25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3"/>
    </row>
    <row r="14" spans="1:14" x14ac:dyDescent="0.2">
      <c r="A14" s="39" t="s">
        <v>42</v>
      </c>
      <c r="B14" s="40">
        <f>SUM(Jan!B44)</f>
        <v>79</v>
      </c>
      <c r="C14" s="40">
        <f>SUM(Jan!B45)</f>
        <v>59.774193548387096</v>
      </c>
      <c r="D14" s="40">
        <f>SUM(Jan!D45)</f>
        <v>50</v>
      </c>
      <c r="E14" s="40">
        <f>SUM(Jan!C45)</f>
        <v>40.225806451612904</v>
      </c>
      <c r="F14" s="40">
        <f>SUM(Jan!C44)</f>
        <v>23</v>
      </c>
      <c r="G14" s="40">
        <f>SUM(Jan!E12:E42)</f>
        <v>468</v>
      </c>
      <c r="H14" s="40">
        <f>SUM(Jan!F12:F42)</f>
        <v>3</v>
      </c>
      <c r="I14" s="41">
        <f>SUM(Jan!G43)</f>
        <v>0.91</v>
      </c>
      <c r="J14" s="61">
        <f>SUM(Jan!G12:G42)</f>
        <v>0.91</v>
      </c>
      <c r="K14" s="41">
        <v>0</v>
      </c>
      <c r="L14" s="40">
        <f>SUM(Jan!I44)</f>
        <v>33</v>
      </c>
      <c r="M14" s="43">
        <f>Jan!$J$44</f>
        <v>340</v>
      </c>
      <c r="N14" s="57"/>
    </row>
    <row r="15" spans="1:14" x14ac:dyDescent="0.2">
      <c r="A15" s="39"/>
      <c r="B15" s="42"/>
      <c r="C15" s="42"/>
      <c r="D15" s="38"/>
      <c r="E15" s="38"/>
      <c r="F15" s="38"/>
      <c r="G15" s="38"/>
      <c r="H15" s="38"/>
      <c r="I15" s="38"/>
      <c r="J15" s="38"/>
      <c r="K15" s="38"/>
      <c r="L15" s="42"/>
      <c r="M15" s="43"/>
      <c r="N15" s="29"/>
    </row>
    <row r="16" spans="1:14" x14ac:dyDescent="0.2">
      <c r="A16" s="39" t="s">
        <v>43</v>
      </c>
      <c r="B16" s="40">
        <f>SUM('Feb '!B42)</f>
        <v>91</v>
      </c>
      <c r="C16" s="40">
        <f>SUM('Feb '!B43)</f>
        <v>69.071428571428569</v>
      </c>
      <c r="D16" s="40">
        <f>SUM('Feb '!D43)</f>
        <v>57.732142857142861</v>
      </c>
      <c r="E16" s="40">
        <f>SUM('Feb '!C43)</f>
        <v>46.392857142857146</v>
      </c>
      <c r="F16" s="40">
        <f>SUM('Feb '!C42)</f>
        <v>23</v>
      </c>
      <c r="G16" s="40">
        <f>SUM('Feb '!E12:E40)</f>
        <v>261.5</v>
      </c>
      <c r="H16" s="40">
        <f>SUM('Feb '!F12:F40)</f>
        <v>70.5</v>
      </c>
      <c r="I16" s="41">
        <f>SUM('Feb '!G41)</f>
        <v>0.4</v>
      </c>
      <c r="J16" s="61">
        <f>MAXA('Feb '!G12:G40)</f>
        <v>0.24</v>
      </c>
      <c r="K16" s="41">
        <v>0</v>
      </c>
      <c r="L16" s="40">
        <f>SUM('Feb '!I42)</f>
        <v>33</v>
      </c>
      <c r="M16" s="43">
        <f>'Feb '!$J$42</f>
        <v>360</v>
      </c>
      <c r="N16" s="29"/>
    </row>
    <row r="17" spans="1:14" x14ac:dyDescent="0.2">
      <c r="A17" s="39"/>
      <c r="B17" s="42"/>
      <c r="C17" s="42"/>
      <c r="D17" s="38"/>
      <c r="E17" s="38"/>
      <c r="F17" s="38"/>
      <c r="G17" s="38"/>
      <c r="H17" s="38"/>
      <c r="I17" s="38"/>
      <c r="J17" s="38"/>
      <c r="K17" s="38"/>
      <c r="L17" s="42"/>
      <c r="M17" s="43"/>
      <c r="N17" s="29"/>
    </row>
    <row r="18" spans="1:14" x14ac:dyDescent="0.2">
      <c r="A18" s="39" t="s">
        <v>44</v>
      </c>
      <c r="B18" s="40">
        <f>SUM(Mar!B44)</f>
        <v>97</v>
      </c>
      <c r="C18" s="40">
        <f>SUM(Mar!B45)</f>
        <v>83.870967741935488</v>
      </c>
      <c r="D18" s="40">
        <f>SUM(Mar!D45)</f>
        <v>69.806451612903231</v>
      </c>
      <c r="E18" s="40">
        <f>SUM(Mar!C45)</f>
        <v>55.741935483870968</v>
      </c>
      <c r="F18" s="40">
        <f>SUM(Mar!C44)</f>
        <v>38</v>
      </c>
      <c r="G18" s="40">
        <f>SUM(Mar!E12:E42)</f>
        <v>29.5</v>
      </c>
      <c r="H18" s="40">
        <f>SUM(Mar!F12:F42)</f>
        <v>178.5</v>
      </c>
      <c r="I18" s="41">
        <f>SUM(Mar!G43)</f>
        <v>2.59</v>
      </c>
      <c r="J18" s="61">
        <f>MAXA(Mar!G12:G42)</f>
        <v>1.04</v>
      </c>
      <c r="K18" s="41">
        <f>SUM(Mar!H43)</f>
        <v>0</v>
      </c>
      <c r="L18" s="40">
        <f>SUM(Mar!I44)</f>
        <v>41</v>
      </c>
      <c r="M18" s="43">
        <f>Mar!$J$44</f>
        <v>290</v>
      </c>
      <c r="N18" s="29"/>
    </row>
    <row r="19" spans="1:14" x14ac:dyDescent="0.2">
      <c r="A19" s="39"/>
      <c r="B19" s="40"/>
      <c r="C19" s="40"/>
      <c r="D19" s="40"/>
      <c r="E19" s="40"/>
      <c r="F19" s="40"/>
      <c r="G19" s="40"/>
      <c r="H19" s="40"/>
      <c r="I19" s="41"/>
      <c r="J19" s="41"/>
      <c r="K19" s="41"/>
      <c r="L19" s="40"/>
      <c r="M19" s="43"/>
      <c r="N19" s="29"/>
    </row>
    <row r="20" spans="1:14" x14ac:dyDescent="0.2">
      <c r="A20" s="39" t="s">
        <v>45</v>
      </c>
      <c r="B20" s="40">
        <f>SUM('Apr '!B43)</f>
        <v>94</v>
      </c>
      <c r="C20" s="40">
        <f>SUM('Apr '!B44)</f>
        <v>86.5</v>
      </c>
      <c r="D20" s="40">
        <f>SUM('Apr '!D44)</f>
        <v>75.216666666666669</v>
      </c>
      <c r="E20" s="40">
        <f>SUM('Apr '!C44)</f>
        <v>63.93333333333333</v>
      </c>
      <c r="F20" s="40">
        <f>SUM('Apr '!C43)</f>
        <v>40</v>
      </c>
      <c r="G20" s="40">
        <f>SUM('Apr '!E12:E41)</f>
        <v>21</v>
      </c>
      <c r="H20" s="40">
        <f>SUM('Apr '!F12:F41)</f>
        <v>327.5</v>
      </c>
      <c r="I20" s="41">
        <f>SUM('Apr '!G42)</f>
        <v>1.1600000000000001</v>
      </c>
      <c r="J20" s="61">
        <f>MAXA('Apr '!G12:G41)</f>
        <v>0.8</v>
      </c>
      <c r="K20" s="41">
        <f>SUM('Apr '!H42)</f>
        <v>0</v>
      </c>
      <c r="L20" s="40">
        <f>SUM('Apr '!I43)</f>
        <v>33</v>
      </c>
      <c r="M20" s="43">
        <f>'Apr '!$J$43</f>
        <v>340</v>
      </c>
      <c r="N20" s="29"/>
    </row>
    <row r="21" spans="1:14" x14ac:dyDescent="0.2">
      <c r="A21" s="39"/>
      <c r="B21" s="40"/>
      <c r="C21" s="40"/>
      <c r="D21" s="40"/>
      <c r="E21" s="40"/>
      <c r="F21" s="40"/>
      <c r="G21" s="40"/>
      <c r="H21" s="40"/>
      <c r="I21" s="41"/>
      <c r="J21" s="41"/>
      <c r="K21" s="41"/>
      <c r="L21" s="40"/>
      <c r="M21" s="43"/>
      <c r="N21" s="29"/>
    </row>
    <row r="22" spans="1:14" x14ac:dyDescent="0.2">
      <c r="A22" s="39" t="s">
        <v>46</v>
      </c>
      <c r="B22" s="40">
        <f>May!$B$43</f>
        <v>104</v>
      </c>
      <c r="C22" s="40">
        <f>May!$B$44</f>
        <v>93.451612903225808</v>
      </c>
      <c r="D22" s="40">
        <f>May!$D$44</f>
        <v>81.774193548387103</v>
      </c>
      <c r="E22" s="40">
        <f>May!$C$44</f>
        <v>70.096774193548384</v>
      </c>
      <c r="F22" s="40">
        <f>May!$C$43</f>
        <v>53</v>
      </c>
      <c r="G22" s="40">
        <f>SUM(May!E12:E42)</f>
        <v>0</v>
      </c>
      <c r="H22" s="40">
        <f>SUM(May!F12:F42)</f>
        <v>1022.5</v>
      </c>
      <c r="I22" s="41">
        <f>SUM(May!$G$42)</f>
        <v>2.12</v>
      </c>
      <c r="J22" s="61">
        <f>(May!G43)</f>
        <v>1.58</v>
      </c>
      <c r="K22" s="41">
        <f>May!$H$42</f>
        <v>0</v>
      </c>
      <c r="L22" s="40">
        <f>May!$I$43</f>
        <v>36</v>
      </c>
      <c r="M22" s="43">
        <f>May!$J$43</f>
        <v>150</v>
      </c>
      <c r="N22" s="29"/>
    </row>
    <row r="23" spans="1:14" x14ac:dyDescent="0.2">
      <c r="A23" s="39"/>
      <c r="B23" s="40"/>
      <c r="C23" s="40"/>
      <c r="D23" s="40"/>
      <c r="E23" s="40"/>
      <c r="F23" s="40"/>
      <c r="G23" s="40"/>
      <c r="H23" s="40"/>
      <c r="I23" s="41"/>
      <c r="J23" s="41"/>
      <c r="K23" s="41"/>
      <c r="L23" s="40"/>
      <c r="M23" s="43"/>
      <c r="N23" s="29"/>
    </row>
    <row r="24" spans="1:14" x14ac:dyDescent="0.2">
      <c r="A24" s="39" t="s">
        <v>47</v>
      </c>
      <c r="B24" s="40">
        <f>'Jun '!$B$43</f>
        <v>99</v>
      </c>
      <c r="C24" s="40">
        <f>'Jun '!$B$44</f>
        <v>94.766666666666666</v>
      </c>
      <c r="D24" s="40">
        <f>'Jun '!$D$44</f>
        <v>85.15</v>
      </c>
      <c r="E24" s="40">
        <f>'Jun '!$C$44</f>
        <v>75.533333333333331</v>
      </c>
      <c r="F24" s="40">
        <f>'Jun '!$C$43</f>
        <v>70</v>
      </c>
      <c r="G24" s="40">
        <f>SUM('Jun '!E12:E41)</f>
        <v>0</v>
      </c>
      <c r="H24" s="40">
        <f>SUM('Jun '!F12:F41)</f>
        <v>604.5</v>
      </c>
      <c r="I24" s="41">
        <f>'Jun '!$G$42</f>
        <v>3.05</v>
      </c>
      <c r="J24" s="61">
        <f>MAXA('Jun '!G12:G41)</f>
        <v>1.86</v>
      </c>
      <c r="K24" s="41">
        <f>'Jun '!$H$42</f>
        <v>0</v>
      </c>
      <c r="L24" s="40">
        <f>'Jun '!$I$43</f>
        <v>41</v>
      </c>
      <c r="M24" s="43">
        <f>'Jun '!$J$43</f>
        <v>160</v>
      </c>
      <c r="N24" s="29"/>
    </row>
    <row r="25" spans="1:14" x14ac:dyDescent="0.2">
      <c r="A25" s="39"/>
      <c r="B25" s="40"/>
      <c r="C25" s="40"/>
      <c r="D25" s="40"/>
      <c r="E25" s="40"/>
      <c r="F25" s="40"/>
      <c r="G25" s="40"/>
      <c r="H25" s="40"/>
      <c r="I25" s="41"/>
      <c r="J25" s="41"/>
      <c r="K25" s="41"/>
      <c r="L25" s="40"/>
      <c r="M25" s="43"/>
      <c r="N25" s="29"/>
    </row>
    <row r="26" spans="1:14" x14ac:dyDescent="0.2">
      <c r="A26" s="39" t="s">
        <v>48</v>
      </c>
      <c r="B26" s="40">
        <f>'Jul '!$B$44</f>
        <v>104</v>
      </c>
      <c r="C26" s="40">
        <f>'Jul '!$B$45</f>
        <v>96.032258064516128</v>
      </c>
      <c r="D26" s="40">
        <f>'Jul '!$D$45</f>
        <v>86.225806451612897</v>
      </c>
      <c r="E26" s="40">
        <f>'Jul '!$C$45</f>
        <v>76.41935483870968</v>
      </c>
      <c r="F26" s="40">
        <f>'Jul '!$C$44</f>
        <v>66</v>
      </c>
      <c r="G26" s="40">
        <f>SUM('Jul '!E12:E42)</f>
        <v>0</v>
      </c>
      <c r="H26" s="40">
        <f>SUM('Jul '!F20:F50)</f>
        <v>1238.0424731182795</v>
      </c>
      <c r="I26" s="41">
        <f>'Jul '!$G$43</f>
        <v>0.66</v>
      </c>
      <c r="J26" s="61">
        <f>MAXA('Jul '!G12:G42)</f>
        <v>0.17</v>
      </c>
      <c r="K26" s="41">
        <f>'Jul '!$H$43</f>
        <v>0</v>
      </c>
      <c r="L26" s="40">
        <f>'Jul '!$I$44</f>
        <v>30</v>
      </c>
      <c r="M26" s="43">
        <f>'Jul '!$J$44</f>
        <v>130</v>
      </c>
      <c r="N26" s="29"/>
    </row>
    <row r="27" spans="1:14" x14ac:dyDescent="0.2">
      <c r="A27" s="39"/>
      <c r="B27" s="40"/>
      <c r="C27" s="40"/>
      <c r="D27" s="40"/>
      <c r="E27" s="40"/>
      <c r="F27" s="40"/>
      <c r="G27" s="40"/>
      <c r="H27" s="40"/>
      <c r="I27" s="41"/>
      <c r="J27" s="41"/>
      <c r="K27" s="41"/>
      <c r="L27" s="40"/>
      <c r="M27" s="43"/>
      <c r="N27" s="29"/>
    </row>
    <row r="28" spans="1:14" x14ac:dyDescent="0.2">
      <c r="A28" s="39" t="s">
        <v>49</v>
      </c>
      <c r="B28" s="40">
        <f>Aug!$B$44</f>
        <v>105</v>
      </c>
      <c r="C28" s="40">
        <f>Aug!$B$45</f>
        <v>100.61290322580645</v>
      </c>
      <c r="D28" s="40">
        <f>Aug!$D$45</f>
        <v>88.661290322580641</v>
      </c>
      <c r="E28" s="40">
        <f>Aug!$C$45</f>
        <v>76.709677419354833</v>
      </c>
      <c r="F28" s="40">
        <f>Aug!$C$44</f>
        <v>72</v>
      </c>
      <c r="G28" s="40">
        <f>SUM(Aug!E12:E42)</f>
        <v>0</v>
      </c>
      <c r="H28" s="40">
        <f>SUM(Aug!F12:F42)</f>
        <v>733.5</v>
      </c>
      <c r="I28" s="41">
        <f>Aug!$G$43</f>
        <v>2.5300000000000002</v>
      </c>
      <c r="J28" s="61">
        <f>MAXA(Aug!G12:G42)</f>
        <v>1.55</v>
      </c>
      <c r="K28" s="41">
        <f>Aug!$H$43</f>
        <v>0</v>
      </c>
      <c r="L28" s="40">
        <f>Aug!$I$44</f>
        <v>37</v>
      </c>
      <c r="M28" s="43">
        <f>Aug!$J$44</f>
        <v>320</v>
      </c>
      <c r="N28" s="29"/>
    </row>
    <row r="29" spans="1:14" x14ac:dyDescent="0.2">
      <c r="A29" s="39"/>
      <c r="B29" s="40"/>
      <c r="C29" s="40"/>
      <c r="D29" s="40"/>
      <c r="E29" s="40"/>
      <c r="F29" s="40"/>
      <c r="G29" s="40"/>
      <c r="H29" s="40"/>
      <c r="I29" s="41"/>
      <c r="J29" s="41"/>
      <c r="K29" s="41"/>
      <c r="L29" s="40"/>
      <c r="M29" s="43"/>
      <c r="N29" s="29"/>
    </row>
    <row r="30" spans="1:14" x14ac:dyDescent="0.2">
      <c r="A30" s="39" t="s">
        <v>50</v>
      </c>
      <c r="B30" s="40">
        <f>Sep!$B$43</f>
        <v>102</v>
      </c>
      <c r="C30" s="40">
        <f>Sep!$B$44</f>
        <v>94.833333333333329</v>
      </c>
      <c r="D30" s="40">
        <f>Sep!$D$44</f>
        <v>83.449999999999989</v>
      </c>
      <c r="E30" s="40">
        <f>Sep!$C$44</f>
        <v>72.066666666666663</v>
      </c>
      <c r="F30" s="40">
        <f>Sep!$C$43</f>
        <v>65</v>
      </c>
      <c r="G30" s="40">
        <f>SUM(Sep!E12:E41)</f>
        <v>0</v>
      </c>
      <c r="H30" s="40">
        <f>SUM(Sep!F12:F41)</f>
        <v>553.5</v>
      </c>
      <c r="I30" s="41">
        <f>SUM(Sep!$G$42)</f>
        <v>0.18000000000000002</v>
      </c>
      <c r="J30" s="61">
        <f>MAXA(Sep!G12:G41)</f>
        <v>0.17</v>
      </c>
      <c r="K30" s="41">
        <f>Sep!$H$43</f>
        <v>0</v>
      </c>
      <c r="L30" s="40">
        <f>Sep!$I$43</f>
        <v>35</v>
      </c>
      <c r="M30" s="43">
        <f>Sep!$J$43</f>
        <v>350</v>
      </c>
      <c r="N30" s="29"/>
    </row>
    <row r="31" spans="1:14" x14ac:dyDescent="0.2">
      <c r="A31" s="39"/>
      <c r="B31" s="40"/>
      <c r="C31" s="40"/>
      <c r="D31" s="40"/>
      <c r="E31" s="40"/>
      <c r="F31" s="40"/>
      <c r="G31" s="40"/>
      <c r="H31" s="40"/>
      <c r="I31" s="41"/>
      <c r="J31" s="41"/>
      <c r="K31" s="41"/>
      <c r="L31" s="40"/>
      <c r="M31" s="43"/>
      <c r="N31" s="29"/>
    </row>
    <row r="32" spans="1:14" x14ac:dyDescent="0.2">
      <c r="A32" s="39" t="s">
        <v>51</v>
      </c>
      <c r="B32" s="40">
        <f>'Oct '!$B$44</f>
        <v>96</v>
      </c>
      <c r="C32" s="40">
        <f>'Oct '!$B$45</f>
        <v>90.451612903225808</v>
      </c>
      <c r="D32" s="40">
        <f>'Oct '!$D$45</f>
        <v>78.064516129032256</v>
      </c>
      <c r="E32" s="40">
        <f>'Oct '!$C$45</f>
        <v>65.677419354838705</v>
      </c>
      <c r="F32" s="40">
        <f>'Oct '!$C$44</f>
        <v>40</v>
      </c>
      <c r="G32" s="40">
        <f>SUM('Oct '!E12:E42)</f>
        <v>20</v>
      </c>
      <c r="H32" s="40">
        <f>SUM('Oct '!F12:F42)</f>
        <v>425</v>
      </c>
      <c r="I32" s="41">
        <f>SUM('Oct '!$G$43)</f>
        <v>1.48</v>
      </c>
      <c r="J32" s="61">
        <f>MAXA('Oct '!G12:G42)</f>
        <v>1.03</v>
      </c>
      <c r="K32" s="41">
        <f>'Oct '!$H$43</f>
        <v>0</v>
      </c>
      <c r="L32" s="40">
        <f>'Oct '!$I$44</f>
        <v>32</v>
      </c>
      <c r="M32" s="43">
        <f>'Oct '!$J$44</f>
        <v>300</v>
      </c>
      <c r="N32" s="29"/>
    </row>
    <row r="33" spans="1:14" x14ac:dyDescent="0.2">
      <c r="A33" s="39"/>
      <c r="B33" s="40"/>
      <c r="C33" s="40"/>
      <c r="D33" s="40"/>
      <c r="E33" s="40"/>
      <c r="F33" s="40"/>
      <c r="G33" s="40"/>
      <c r="H33" s="40"/>
      <c r="I33" s="41"/>
      <c r="J33" s="41"/>
      <c r="K33" s="41"/>
      <c r="L33" s="40"/>
      <c r="M33" s="43"/>
      <c r="N33" s="29"/>
    </row>
    <row r="34" spans="1:14" ht="13.5" x14ac:dyDescent="0.25">
      <c r="A34" s="39" t="s">
        <v>52</v>
      </c>
      <c r="B34" s="40">
        <f>Nov!$B$43</f>
        <v>92</v>
      </c>
      <c r="C34" s="18">
        <f>SUM(Nov!B44)</f>
        <v>80.13333333333334</v>
      </c>
      <c r="D34" s="18">
        <f>SUM(Nov!D44)</f>
        <v>68.366666666666674</v>
      </c>
      <c r="E34" s="18">
        <f>Nov!$C$44</f>
        <v>56.6</v>
      </c>
      <c r="F34" s="40">
        <f>Nov!$C$43</f>
        <v>36</v>
      </c>
      <c r="G34" s="40">
        <f>SUM(Nov!E12:E41)</f>
        <v>50</v>
      </c>
      <c r="H34" s="40">
        <f>SUM(Nov!F12:F41)</f>
        <v>151</v>
      </c>
      <c r="I34" s="41">
        <f>Nov!$G$42</f>
        <v>0.37</v>
      </c>
      <c r="J34" s="61">
        <f>MAXA(Nov!G12:G41)</f>
        <v>0.24</v>
      </c>
      <c r="K34" s="41">
        <v>0</v>
      </c>
      <c r="L34" s="40">
        <f>Nov!$I$43</f>
        <v>33</v>
      </c>
      <c r="M34" s="43">
        <f>Nov!$J$43</f>
        <v>10</v>
      </c>
      <c r="N34" s="29"/>
    </row>
    <row r="35" spans="1:14" x14ac:dyDescent="0.2">
      <c r="A35" s="39"/>
      <c r="B35" s="40"/>
      <c r="C35" s="40"/>
      <c r="D35" s="40"/>
      <c r="E35" s="40"/>
      <c r="F35" s="40"/>
      <c r="G35" s="40"/>
      <c r="H35" s="40"/>
      <c r="I35" s="41"/>
      <c r="J35" s="41"/>
      <c r="K35" s="41"/>
      <c r="L35" s="40"/>
      <c r="M35" s="43"/>
      <c r="N35" s="29"/>
    </row>
    <row r="36" spans="1:14" ht="13.5" x14ac:dyDescent="0.25">
      <c r="A36" s="39" t="s">
        <v>53</v>
      </c>
      <c r="B36" s="40">
        <f>Dec!$B$44</f>
        <v>83</v>
      </c>
      <c r="C36" s="40">
        <f>Dec!$B$45</f>
        <v>70.774193548387103</v>
      </c>
      <c r="D36" s="40">
        <f>Dec!$D$45</f>
        <v>59.822580645161295</v>
      </c>
      <c r="E36" s="40">
        <f>Dec!$C$45</f>
        <v>48.87096774193548</v>
      </c>
      <c r="F36" s="40">
        <f>Dec!$C$44</f>
        <v>32</v>
      </c>
      <c r="G36" s="40">
        <f>SUM(Dec!E12:E42)</f>
        <v>226</v>
      </c>
      <c r="H36" s="40">
        <f>SUM(Dec!F12:F42)</f>
        <v>65.5</v>
      </c>
      <c r="I36" s="41">
        <f>Dec!$G$43</f>
        <v>0.35</v>
      </c>
      <c r="J36" s="61">
        <f>MAXA(Dec!G12:G42)</f>
        <v>0.18</v>
      </c>
      <c r="K36" s="14">
        <f>Dec!$H$43</f>
        <v>0</v>
      </c>
      <c r="L36" s="40">
        <f>Dec!$I$44</f>
        <v>36</v>
      </c>
      <c r="M36" s="43">
        <f>Dec!$J$44</f>
        <v>20</v>
      </c>
      <c r="N36" s="29"/>
    </row>
    <row r="37" spans="1:14" x14ac:dyDescent="0.2">
      <c r="A37" s="39"/>
      <c r="B37" s="40"/>
      <c r="C37" s="40"/>
      <c r="D37" s="40"/>
      <c r="E37" s="40"/>
      <c r="F37" s="40"/>
      <c r="G37" s="40"/>
      <c r="H37" s="40"/>
      <c r="I37" s="41"/>
      <c r="J37" s="41"/>
      <c r="K37" s="41"/>
      <c r="L37" s="40"/>
      <c r="M37" s="43"/>
      <c r="N37" s="29"/>
    </row>
    <row r="38" spans="1:14" ht="13.5" thickBot="1" x14ac:dyDescent="0.25">
      <c r="A38" s="30"/>
      <c r="B38" s="44"/>
      <c r="C38" s="44"/>
      <c r="D38" s="44"/>
      <c r="E38" s="31"/>
      <c r="F38" s="31"/>
      <c r="G38" s="31"/>
      <c r="H38" s="31"/>
      <c r="I38" s="45"/>
      <c r="J38" s="45"/>
      <c r="K38" s="31"/>
      <c r="L38" s="44"/>
      <c r="M38" s="46"/>
      <c r="N38" s="47"/>
    </row>
    <row r="39" spans="1:14" x14ac:dyDescent="0.2">
      <c r="A39" s="39" t="s">
        <v>24</v>
      </c>
      <c r="B39" s="40" t="s">
        <v>54</v>
      </c>
      <c r="C39" s="40" t="s">
        <v>54</v>
      </c>
      <c r="D39" s="40" t="s">
        <v>54</v>
      </c>
      <c r="E39" s="40" t="s">
        <v>54</v>
      </c>
      <c r="F39" s="35" t="s">
        <v>54</v>
      </c>
      <c r="G39" s="40">
        <f>SUM(G14:G36)</f>
        <v>1076</v>
      </c>
      <c r="H39" s="40">
        <f>SUM(H14:H36)</f>
        <v>5373.0424731182793</v>
      </c>
      <c r="I39" s="41">
        <f>SUM(I14:I37)</f>
        <v>15.8</v>
      </c>
      <c r="J39" s="41">
        <f>SUM(J14:J37)</f>
        <v>9.77</v>
      </c>
      <c r="K39" s="41">
        <v>0</v>
      </c>
      <c r="L39" s="40" t="s">
        <v>54</v>
      </c>
      <c r="M39" s="43" t="s">
        <v>54</v>
      </c>
      <c r="N39" s="48"/>
    </row>
    <row r="40" spans="1:14" x14ac:dyDescent="0.2">
      <c r="A40" s="39" t="s">
        <v>26</v>
      </c>
      <c r="B40" s="40">
        <f>MAXA(B14:B37)</f>
        <v>105</v>
      </c>
      <c r="C40" s="40">
        <f>AVERAGEA(C14:C37)</f>
        <v>85.022708653353817</v>
      </c>
      <c r="D40" s="40">
        <f>(C40+E40)/2</f>
        <v>73.689192908346129</v>
      </c>
      <c r="E40" s="40">
        <f>AVERAGEA(E14:E37)</f>
        <v>62.355677163338449</v>
      </c>
      <c r="F40" s="40">
        <f>MINA(F14:F37)</f>
        <v>23</v>
      </c>
      <c r="G40" s="40"/>
      <c r="H40" s="40"/>
      <c r="I40" s="41">
        <f>MAXA(I14:I37)</f>
        <v>3.05</v>
      </c>
      <c r="J40" s="41">
        <f>MAXA(J14:J37)</f>
        <v>1.86</v>
      </c>
      <c r="K40" s="41">
        <v>0</v>
      </c>
      <c r="L40" s="40">
        <f>MAXA(L14:L37)</f>
        <v>41</v>
      </c>
      <c r="M40" s="43">
        <v>20</v>
      </c>
      <c r="N40" s="29"/>
    </row>
    <row r="41" spans="1:14" x14ac:dyDescent="0.2">
      <c r="A41" s="39" t="s">
        <v>16</v>
      </c>
      <c r="B41" s="40">
        <f>AVERAGEA(B14:B37)</f>
        <v>95.5</v>
      </c>
      <c r="C41" s="40">
        <f>AVERAGEA(C14:C37)</f>
        <v>85.022708653353817</v>
      </c>
      <c r="D41" s="40">
        <f>(C41+E41)/2</f>
        <v>73.689192908346129</v>
      </c>
      <c r="E41" s="40">
        <f>AVERAGEA(E14:E37)</f>
        <v>62.355677163338449</v>
      </c>
      <c r="F41" s="40">
        <f>AVERAGEA(F14:F37)</f>
        <v>46.5</v>
      </c>
      <c r="G41" s="40">
        <f>AVERAGEA(G14:G36)</f>
        <v>89.666666666666671</v>
      </c>
      <c r="H41" s="40">
        <f>AVERAGEA(H14:H36)</f>
        <v>447.75353942652328</v>
      </c>
      <c r="I41" s="41">
        <f>AVERAGEA(I14:I37)</f>
        <v>1.3166666666666667</v>
      </c>
      <c r="J41" s="41">
        <f>AVERAGEA(J14:J37)</f>
        <v>0.81416666666666659</v>
      </c>
      <c r="K41" s="41" t="s">
        <v>54</v>
      </c>
      <c r="L41" s="40">
        <f>AVERAGEA(L14:L37)</f>
        <v>35</v>
      </c>
      <c r="M41" s="43">
        <f>AVERAGEA(M14:M36)</f>
        <v>230.83333333333334</v>
      </c>
      <c r="N41" s="29"/>
    </row>
    <row r="42" spans="1:14" x14ac:dyDescent="0.2">
      <c r="A42" s="39" t="s">
        <v>28</v>
      </c>
      <c r="B42" s="40">
        <v>111</v>
      </c>
      <c r="C42" s="40">
        <v>82</v>
      </c>
      <c r="D42" s="40">
        <v>70</v>
      </c>
      <c r="E42" s="40">
        <v>61</v>
      </c>
      <c r="F42" s="40">
        <v>4</v>
      </c>
      <c r="G42" s="40"/>
      <c r="H42" s="40"/>
      <c r="I42" s="41">
        <v>27.8</v>
      </c>
      <c r="J42" s="41">
        <v>8.4</v>
      </c>
      <c r="K42" s="35">
        <v>0.5</v>
      </c>
      <c r="L42" s="40">
        <v>8</v>
      </c>
      <c r="M42" s="43">
        <v>160</v>
      </c>
      <c r="N42" s="29"/>
    </row>
    <row r="43" spans="1:14" x14ac:dyDescent="0.2">
      <c r="A43" s="39"/>
      <c r="B43" s="42"/>
      <c r="C43" s="42"/>
      <c r="D43" s="38"/>
      <c r="E43" s="38"/>
      <c r="F43" s="38"/>
      <c r="G43" s="38"/>
      <c r="H43" s="38"/>
      <c r="I43" s="38"/>
      <c r="J43" s="38"/>
      <c r="K43" s="38"/>
      <c r="L43" s="42"/>
      <c r="M43" s="42"/>
      <c r="N43" s="29"/>
    </row>
    <row r="44" spans="1:14" ht="13.5" thickBot="1" x14ac:dyDescent="0.25">
      <c r="A44" s="49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1"/>
      <c r="M44" s="51"/>
      <c r="N44" s="52"/>
    </row>
    <row r="45" spans="1:14" x14ac:dyDescent="0.2">
      <c r="A45" s="53"/>
      <c r="L45" s="54"/>
      <c r="M45" s="54"/>
    </row>
    <row r="46" spans="1:14" x14ac:dyDescent="0.2">
      <c r="A46" s="53"/>
      <c r="L46" s="54"/>
      <c r="M46" s="54"/>
    </row>
  </sheetData>
  <mergeCells count="4">
    <mergeCell ref="I8:K8"/>
    <mergeCell ref="L8:M8"/>
    <mergeCell ref="G8:H8"/>
    <mergeCell ref="B8:F8"/>
  </mergeCells>
  <phoneticPr fontId="0" type="noConversion"/>
  <pageMargins left="0.75" right="0.75" top="1" bottom="1" header="0.5" footer="0.5"/>
  <pageSetup scale="81"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19EB6409E5EEC4428C59A502C5814505009E0C0DD2BCCBAE4B9DEA1C2807467B9E" ma:contentTypeVersion="4" ma:contentTypeDescription="Create a new document." ma:contentTypeScope="" ma:versionID="b4f8a075053617eca2dcdc39ae466e20">
  <xsd:schema xmlns:xsd="http://www.w3.org/2001/XMLSchema" xmlns:xs="http://www.w3.org/2001/XMLSchema" xmlns:p="http://schemas.microsoft.com/office/2006/metadata/properties" xmlns:ns1="http://schemas.microsoft.com/sharepoint/v3" xmlns:ns2="f855047f-5004-4618-92c4-79fec0b16bec" xmlns:ns3="cb9f55f9-67e2-408a-923c-8a98d1d26f3e" xmlns:ns4="bac4e3eb-747f-43bc-bf10-c1bbb893ecac" targetNamespace="http://schemas.microsoft.com/office/2006/metadata/properties" ma:root="true" ma:fieldsID="65a01386806dcf0c14fcc3fb804e1a06" ns1:_="" ns2:_="" ns3:_="" ns4:_="">
    <xsd:import namespace="http://schemas.microsoft.com/sharepoint/v3"/>
    <xsd:import namespace="f855047f-5004-4618-92c4-79fec0b16bec"/>
    <xsd:import namespace="cb9f55f9-67e2-408a-923c-8a98d1d26f3e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3:lcf76f155ced4ddcb4097134ff3c332f" minOccurs="0"/>
                <xsd:element ref="ns4:TaxCatchAll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5047f-5004-4618-92c4-79fec0b16bec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3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f55f9-67e2-408a-923c-8a98d1d26f3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9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07a50eb9-80ac-4802-afe5-557eccfd8ca4}" ma:internalName="TaxCatchAll" ma:showField="CatchAllData" ma:web="f855047f-5004-4618-92c4-79fec0b16b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cb9f55f9-67e2-408a-923c-8a98d1d26f3e" xsi:nil="true"/>
    <_dlc_DocId xmlns="f855047f-5004-4618-92c4-79fec0b16bec">A43Y23KCFVHJ-1699317965-18044</_dlc_DocId>
    <_dlc_DocIdUrl xmlns="f855047f-5004-4618-92c4-79fec0b16bec">
      <Url>https://usaf.dps.mil/teams/ktfso13088/40437/_layouts/15/DocIdRedir.aspx?ID=A43Y23KCFVHJ-1699317965-18044</Url>
      <Description>A43Y23KCFVHJ-1699317965-18044</Description>
    </_dlc_DocIdUrl>
    <ECFActionID xmlns="f855047f-5004-4618-92c4-79fec0b16bec" xsi:nil="true"/>
    <ECFActionStatus xmlns="f855047f-5004-4618-92c4-79fec0b16bec" xsi:nil="true"/>
    <ECFApplicationVersion xmlns="f855047f-5004-4618-92c4-79fec0b16bec">5.0.0</ECFApplicationVersion>
    <ECFActionCreateDate xmlns="f855047f-5004-4618-92c4-79fec0b16bec" xsi:nil="true"/>
    <ECFActionDescription xmlns="f855047f-5004-4618-92c4-79fec0b16bec" xsi:nil="true"/>
    <ECFActionSolicitationNumber xmlns="f855047f-5004-4618-92c4-79fec0b16bec" xsi:nil="true"/>
    <ECFActionNumber xmlns="f855047f-5004-4618-92c4-79fec0b16bec" xsi:nil="true"/>
    <ECFActionParentID xmlns="f855047f-5004-4618-92c4-79fec0b16bec" xsi:nil="true"/>
    <ECFActionName xmlns="f855047f-5004-4618-92c4-79fec0b16bec" xsi:nil="true"/>
    <ECFActionPrimaryCO xmlns="f855047f-5004-4618-92c4-79fec0b16bec">
      <UserInfo>
        <DisplayName/>
        <AccountId xsi:nil="true"/>
        <AccountType/>
      </UserInfo>
    </ECFActionPrimaryCO>
    <ECFActionPrimaryCloseOutCO xmlns="f855047f-5004-4618-92c4-79fec0b16bec">
      <UserInfo>
        <DisplayName/>
        <AccountId xsi:nil="true"/>
        <AccountType/>
      </UserInfo>
    </ECFActionPrimaryCloseOutCO>
    <ECFActionPurchaseReqNumbers xmlns="f855047f-5004-4618-92c4-79fec0b16bec" xsi:nil="true"/>
    <ECFActionPrimaryBuyer xmlns="f855047f-5004-4618-92c4-79fec0b16bec">
      <UserInfo>
        <DisplayName/>
        <AccountId xsi:nil="true"/>
        <AccountType/>
      </UserInfo>
    </ECFActionPrimaryBuyer>
    <ECFActionIsPartitioned xmlns="f855047f-5004-4618-92c4-79fec0b16bec" xsi:nil="true"/>
    <ECFActionBuyers xmlns="f855047f-5004-4618-92c4-79fec0b16bec">
      <UserInfo>
        <DisplayName/>
        <AccountId xsi:nil="true"/>
        <AccountType/>
      </UserInfo>
    </ECFActionBuyers>
    <ECFActionCOs xmlns="f855047f-5004-4618-92c4-79fec0b16bec">
      <UserInfo>
        <DisplayName/>
        <AccountId xsi:nil="true"/>
        <AccountType/>
      </UserInfo>
    </ECFActionCOs>
    <ECFApplicationEnvironment xmlns="f855047f-5004-4618-92c4-79fec0b16bec">VanaQA</ECFApplicationEnvironment>
    <ECFActionPrimaryCloseOutBuyer xmlns="f855047f-5004-4618-92c4-79fec0b16bec">
      <UserInfo>
        <DisplayName/>
        <AccountId xsi:nil="true"/>
        <AccountType/>
      </UserInfo>
    </ECFActionPrimaryCloseOutBuyer>
    <ECFActionOfficeID xmlns="f855047f-5004-4618-92c4-79fec0b16bec" xsi:nil="true"/>
  </documentManagement>
</p:properties>
</file>

<file path=customXml/itemProps1.xml><?xml version="1.0" encoding="utf-8"?>
<ds:datastoreItem xmlns:ds="http://schemas.openxmlformats.org/officeDocument/2006/customXml" ds:itemID="{8D9725FD-D58E-4A8C-875C-F8F37878014E}"/>
</file>

<file path=customXml/itemProps2.xml><?xml version="1.0" encoding="utf-8"?>
<ds:datastoreItem xmlns:ds="http://schemas.openxmlformats.org/officeDocument/2006/customXml" ds:itemID="{1506C44D-7B30-41BC-AE01-97271E2DB1C0}"/>
</file>

<file path=customXml/itemProps3.xml><?xml version="1.0" encoding="utf-8"?>
<ds:datastoreItem xmlns:ds="http://schemas.openxmlformats.org/officeDocument/2006/customXml" ds:itemID="{637B0AED-0F84-4976-851B-AA3D31E71A36}"/>
</file>

<file path=customXml/itemProps4.xml><?xml version="1.0" encoding="utf-8"?>
<ds:datastoreItem xmlns:ds="http://schemas.openxmlformats.org/officeDocument/2006/customXml" ds:itemID="{2BCB67FA-954C-4A1A-81FB-C3C979EDB2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Jan</vt:lpstr>
      <vt:lpstr>Feb </vt:lpstr>
      <vt:lpstr>Mar</vt:lpstr>
      <vt:lpstr>Apr </vt:lpstr>
      <vt:lpstr>May</vt:lpstr>
      <vt:lpstr>Jun </vt:lpstr>
      <vt:lpstr>Jul </vt:lpstr>
      <vt:lpstr>Aug</vt:lpstr>
      <vt:lpstr>Sep</vt:lpstr>
      <vt:lpstr>Oct </vt:lpstr>
      <vt:lpstr>Nov</vt:lpstr>
      <vt:lpstr>Dec</vt:lpstr>
      <vt:lpstr>Year 2025</vt:lpstr>
      <vt:lpstr>'Apr '!Print_Area</vt:lpstr>
      <vt:lpstr>Aug!Print_Area</vt:lpstr>
      <vt:lpstr>'Feb '!Print_Area</vt:lpstr>
      <vt:lpstr>Jan!Print_Area</vt:lpstr>
      <vt:lpstr>'Jul '!Print_Area</vt:lpstr>
      <vt:lpstr>'Jun '!Print_Area</vt:lpstr>
      <vt:lpstr>Mar!Print_Area</vt:lpstr>
      <vt:lpstr>May!Print_Area</vt:lpstr>
      <vt:lpstr>Nov!Print_Area</vt:lpstr>
      <vt:lpstr>'Oct '!Print_Area</vt:lpstr>
      <vt:lpstr>Sep!Print_Area</vt:lpstr>
      <vt:lpstr>'Year 2025'!Print_Area</vt:lpstr>
    </vt:vector>
  </TitlesOfParts>
  <Company>76 OSS/OSW, Kelly AFB TX 925-5709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https://wwwmil.lackland.af.mil/weather/PAGES/climo/Climo%202001.xls</dc:title>
  <dc:creator>CWSO</dc:creator>
  <cp:lastModifiedBy>GALLEGOS, ROBERT C GS-12 USAF AETC 502 CONS/PKAAB</cp:lastModifiedBy>
  <cp:lastPrinted>2025-08-04T05:52:01Z</cp:lastPrinted>
  <dcterms:created xsi:type="dcterms:W3CDTF">1998-12-06T11:38:27Z</dcterms:created>
  <dcterms:modified xsi:type="dcterms:W3CDTF">2026-01-28T13:46:51Z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0x01010019EB6409E5EEC4428C59A502C5814505009E0C0DD2BCCBAE4B9DEA1C2807467B9E</vt:lpwstr>
  </property>
  <property fmtid="{D5CDD505-2E9C-101B-9397-08002B2CF9AE}" pid="3" name="_dlc_DocIdItemGuid">
    <vt:lpwstr>769a2669-9508-4c0d-af1c-0e0353a54658</vt:lpwstr>
  </property>
  <property fmtid="{D5CDD505-2E9C-101B-9397-08002B2CF9AE}" pid="4" name="MediaServiceImageTags">
    <vt:lpwstr/>
  </property>
  <property fmtid="{D5CDD505-2E9C-101B-9397-08002B2CF9AE}" pid="7" name="_ip_UnifiedCompliancePolicyProperties">
    <vt:lpwstr/>
  </property>
</Properties>
</file>